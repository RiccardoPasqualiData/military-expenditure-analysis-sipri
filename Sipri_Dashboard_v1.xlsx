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ky\Desktop\Progetto SIPRI\"/>
    </mc:Choice>
  </mc:AlternateContent>
  <xr:revisionPtr revIDLastSave="0" documentId="13_ncr:1_{3677D161-5046-4E7C-971E-AEDF18E1D556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Dashboard" sheetId="8" r:id="rId1"/>
    <sheet name="Clean_Data" sheetId="4" r:id="rId2"/>
    <sheet name="Raw_Data" sheetId="2" r:id="rId3"/>
    <sheet name="Countries_Registry" sheetId="3" r:id="rId4"/>
    <sheet name="Pivot_Engine" sheetId="6" state="hidden" r:id="rId5"/>
  </sheets>
  <definedNames>
    <definedName name="FiltroDati_NATO">#N/A</definedName>
    <definedName name="FiltroDati_Region">#N/A</definedName>
    <definedName name="FiltroDati_Spending_Category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6" l="1"/>
  <c r="N8" i="6"/>
  <c r="N5" i="6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</calcChain>
</file>

<file path=xl/sharedStrings.xml><?xml version="1.0" encoding="utf-8"?>
<sst xmlns="http://schemas.openxmlformats.org/spreadsheetml/2006/main" count="249" uniqueCount="76">
  <si>
    <t>Russia</t>
  </si>
  <si>
    <t>India</t>
  </si>
  <si>
    <t>Australia</t>
  </si>
  <si>
    <t>Canada</t>
  </si>
  <si>
    <t>1,9</t>
  </si>
  <si>
    <t>Algeria</t>
  </si>
  <si>
    <t>n.d.</t>
  </si>
  <si>
    <t>Taiwan</t>
  </si>
  <si>
    <t>Singapore</t>
  </si>
  <si>
    <t>Pakistan</t>
  </si>
  <si>
    <t>Indonesia</t>
  </si>
  <si>
    <t>Colombia</t>
  </si>
  <si>
    <t>NATO</t>
  </si>
  <si>
    <t>No</t>
  </si>
  <si>
    <t>Asia</t>
  </si>
  <si>
    <t>Oceania</t>
  </si>
  <si>
    <t>Africa</t>
  </si>
  <si>
    <t>Trend</t>
  </si>
  <si>
    <t>Country</t>
  </si>
  <si>
    <t>Spending 2023 (bn $)</t>
  </si>
  <si>
    <t>Spending 2024 (bn $)</t>
  </si>
  <si>
    <t>% GDP 2024</t>
  </si>
  <si>
    <t>United States</t>
  </si>
  <si>
    <t>China</t>
  </si>
  <si>
    <t>Germany</t>
  </si>
  <si>
    <t>United Kingdom</t>
  </si>
  <si>
    <t>Saudi Arabia</t>
  </si>
  <si>
    <t>Ukraine</t>
  </si>
  <si>
    <t>France</t>
  </si>
  <si>
    <t>Japan</t>
  </si>
  <si>
    <t>South Korea</t>
  </si>
  <si>
    <t>Israel</t>
  </si>
  <si>
    <t>Poland</t>
  </si>
  <si>
    <t>Italy</t>
  </si>
  <si>
    <t>Turkey</t>
  </si>
  <si>
    <t>Spain</t>
  </si>
  <si>
    <t>Brazil</t>
  </si>
  <si>
    <t>Netherlands</t>
  </si>
  <si>
    <t>Mexico</t>
  </si>
  <si>
    <t>Sweden</t>
  </si>
  <si>
    <t>Norway</t>
  </si>
  <si>
    <t>Denmark</t>
  </si>
  <si>
    <t>Belgium</t>
  </si>
  <si>
    <t>Greece</t>
  </si>
  <si>
    <t>Switzerland</t>
  </si>
  <si>
    <t>n/a</t>
  </si>
  <si>
    <t>Region</t>
  </si>
  <si>
    <t>Continent</t>
  </si>
  <si>
    <t>North America</t>
  </si>
  <si>
    <t>Yes</t>
  </si>
  <si>
    <t>Americas</t>
  </si>
  <si>
    <t>East Asia</t>
  </si>
  <si>
    <t>Eastern Europe</t>
  </si>
  <si>
    <t>Europe</t>
  </si>
  <si>
    <t>Western Europe</t>
  </si>
  <si>
    <t>South Asia</t>
  </si>
  <si>
    <t>Middle East</t>
  </si>
  <si>
    <t>North Africa</t>
  </si>
  <si>
    <t>Latin America</t>
  </si>
  <si>
    <t>Southeast Asia</t>
  </si>
  <si>
    <t>NATO Countries:</t>
  </si>
  <si>
    <t>Max Increase:</t>
  </si>
  <si>
    <t>Spending Category</t>
  </si>
  <si>
    <t>% Change</t>
  </si>
  <si>
    <t>Military Effort</t>
  </si>
  <si>
    <t>Index</t>
  </si>
  <si>
    <t>PIVOT ENGINE</t>
  </si>
  <si>
    <t>Etichette di riga</t>
  </si>
  <si>
    <t>Totale complessivo</t>
  </si>
  <si>
    <t>Somma di Spending 2024 (bn $)</t>
  </si>
  <si>
    <t>Somma di Spending 2023 (bn $)</t>
  </si>
  <si>
    <t>GLOBAL MILITARY EXPENDITURE - SIPRI 2024</t>
  </si>
  <si>
    <t>Valori</t>
  </si>
  <si>
    <t>Total World Spending</t>
  </si>
  <si>
    <t>Countries Analysed</t>
  </si>
  <si>
    <t>Average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</si>
</sst>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\ &quot;Mld $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16324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3" fillId="0" borderId="2" xfId="0" applyFont="1" applyBorder="1"/>
    <xf numFmtId="164" fontId="2" fillId="0" borderId="3" xfId="0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7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4" fillId="3" borderId="5" xfId="0" applyFont="1" applyFill="1" applyBorder="1"/>
    <xf numFmtId="10" fontId="4" fillId="3" borderId="5" xfId="0" applyNumberFormat="1" applyFont="1" applyFill="1" applyBorder="1"/>
    <xf numFmtId="10" fontId="0" fillId="0" borderId="0" xfId="0" applyNumberFormat="1"/>
    <xf numFmtId="0" fontId="1" fillId="3" borderId="5" xfId="0" applyFont="1" applyFill="1" applyBorder="1"/>
    <xf numFmtId="0" fontId="5" fillId="4" borderId="1" xfId="0" applyFont="1" applyFill="1" applyBorder="1"/>
    <xf numFmtId="164" fontId="3" fillId="4" borderId="1" xfId="0" applyNumberFormat="1" applyFont="1" applyFill="1" applyBorder="1"/>
    <xf numFmtId="10" fontId="3" fillId="4" borderId="1" xfId="0" applyNumberFormat="1" applyFont="1" applyFill="1" applyBorder="1"/>
    <xf numFmtId="10" fontId="3" fillId="4" borderId="1" xfId="0" applyNumberFormat="1" applyFont="1" applyFill="1" applyBorder="1" applyAlignment="1">
      <alignment horizontal="right"/>
    </xf>
    <xf numFmtId="0" fontId="0" fillId="0" borderId="0" xfId="0" pivotButton="1"/>
    <xf numFmtId="0" fontId="6" fillId="0" borderId="10" xfId="0" applyFont="1" applyBorder="1"/>
    <xf numFmtId="0" fontId="0" fillId="0" borderId="0" xfId="0" applyAlignment="1">
      <alignment horizontal="left"/>
    </xf>
    <xf numFmtId="0" fontId="0" fillId="5" borderId="0" xfId="0" applyFill="1"/>
    <xf numFmtId="165" fontId="0" fillId="0" borderId="0" xfId="0" applyNumberFormat="1"/>
    <xf numFmtId="0" fontId="0" fillId="6" borderId="0" xfId="0" applyFill="1"/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NumberFormat="1"/>
  </cellXfs>
  <cellStyles count="1">
    <cellStyle name="Normale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#,##0.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#,##0.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#,##0.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6324F"/>
        </patternFill>
      </fill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colors>
    <mruColors>
      <color rgb="FFEAF3FB"/>
      <color rgb="FFADD0EA"/>
      <color rgb="FF6FA8D6"/>
      <color rgb="FF2E75B6"/>
      <color rgb="FF28558F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[Sipri_Dashboard_v1.xlsx]Pivot_Engine!pvt_top10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</a:t>
            </a:r>
            <a:r>
              <a:rPr lang="en-US" baseline="0"/>
              <a:t> and China Dominate Global Military Spending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Pivot_Engine!$B$4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378-42C9-A662-ADE74C2AC4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D53-4E5E-9AF0-241E51C2C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Pivot_Engine!$A$5:$A$8</c:f>
              <c:strCache>
                <c:ptCount val="3"/>
                <c:pt idx="0">
                  <c:v>Russia</c:v>
                </c:pt>
                <c:pt idx="1">
                  <c:v>China</c:v>
                </c:pt>
                <c:pt idx="2">
                  <c:v>United States</c:v>
                </c:pt>
              </c:strCache>
            </c:strRef>
          </c:cat>
          <c:val>
            <c:numRef>
              <c:f>Pivot_Engine!$B$5:$B$8</c:f>
              <c:numCache>
                <c:formatCode>General</c:formatCode>
                <c:ptCount val="3"/>
                <c:pt idx="0">
                  <c:v>149</c:v>
                </c:pt>
                <c:pt idx="1">
                  <c:v>314</c:v>
                </c:pt>
                <c:pt idx="2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3-4E5E-9AF0-241E51C2C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219648"/>
        <c:axId val="149532208"/>
      </c:barChart>
      <c:catAx>
        <c:axId val="150219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9532208"/>
        <c:crosses val="autoZero"/>
        <c:auto val="1"/>
        <c:lblAlgn val="ctr"/>
        <c:lblOffset val="100"/>
        <c:noMultiLvlLbl val="0"/>
      </c:catAx>
      <c:valAx>
        <c:axId val="14953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21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1524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[Sipri_Dashboard_v1.xlsx]Pivot_Engine!pvt_trend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World military spending grew ~12% in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31750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2858381832705693"/>
          <c:y val="0.31978216103125623"/>
          <c:w val="0.62105329225151207"/>
          <c:h val="0.48688721201516477"/>
        </c:manualLayout>
      </c:layout>
      <c:lineChart>
        <c:grouping val="standard"/>
        <c:varyColors val="0"/>
        <c:ser>
          <c:idx val="0"/>
          <c:order val="0"/>
          <c:tx>
            <c:strRef>
              <c:f>Pivot_Engine!$F$4</c:f>
              <c:strCache>
                <c:ptCount val="1"/>
                <c:pt idx="0">
                  <c:v>Totale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36AF-4314-BB36-E87D4709D9D6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chemeClr val="tx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6AF-4314-BB36-E87D4709D9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Pivot_Engine!$E$5:$E$6</c:f>
              <c:strCache>
                <c:ptCount val="2"/>
                <c:pt idx="0">
                  <c:v>Somma di Spending 2023 (bn $)</c:v>
                </c:pt>
                <c:pt idx="1">
                  <c:v>Somma di Spending 2024 (bn $)</c:v>
                </c:pt>
              </c:strCache>
            </c:strRef>
          </c:cat>
          <c:val>
            <c:numRef>
              <c:f>Pivot_Engine!$F$5:$F$6</c:f>
              <c:numCache>
                <c:formatCode>General</c:formatCode>
                <c:ptCount val="2"/>
                <c:pt idx="0">
                  <c:v>1321</c:v>
                </c:pt>
                <c:pt idx="1">
                  <c:v>1460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F-4314-BB36-E87D4709D9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3840880"/>
        <c:axId val="149465008"/>
      </c:lineChart>
      <c:catAx>
        <c:axId val="1373840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465008"/>
        <c:crosses val="autoZero"/>
        <c:auto val="1"/>
        <c:lblAlgn val="ctr"/>
        <c:lblOffset val="100"/>
        <c:noMultiLvlLbl val="0"/>
      </c:catAx>
      <c:valAx>
        <c:axId val="1494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384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1524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[Sipri_Dashboard_v1.xlsx]Pivot_Engine!pvt_region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North America accounts for over 40% of world military spending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336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408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0055A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1E90F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ADD8E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4169E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B0E0E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495ED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87CEEB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001F54"/>
          </a:solidFill>
          <a:ln w="19050">
            <a:solidFill>
              <a:schemeClr val="tx2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1F3864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28558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2E75B6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FA8D6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Pivot_Engine!$K$4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60A-4DEA-811B-D2B7CB191BFB}"/>
              </c:ext>
            </c:extLst>
          </c:dPt>
          <c:dPt>
            <c:idx val="1"/>
            <c:bubble3D val="0"/>
            <c:spPr>
              <a:solidFill>
                <a:srgbClr val="2855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60A-4DEA-811B-D2B7CB191BFB}"/>
              </c:ext>
            </c:extLst>
          </c:dPt>
          <c:dPt>
            <c:idx val="2"/>
            <c:bubble3D val="0"/>
            <c:spPr>
              <a:solidFill>
                <a:srgbClr val="6FA8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60A-4DEA-811B-D2B7CB191B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60A-4DEA-811B-D2B7CB191B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60A-4DEA-811B-D2B7CB191B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60A-4DEA-811B-D2B7CB191B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Pivot_Engine!$J$5:$J$8</c:f>
              <c:strCache>
                <c:ptCount val="3"/>
                <c:pt idx="0">
                  <c:v>North America</c:v>
                </c:pt>
                <c:pt idx="1">
                  <c:v>East Asia</c:v>
                </c:pt>
                <c:pt idx="2">
                  <c:v>Eastern Europe</c:v>
                </c:pt>
              </c:strCache>
            </c:strRef>
          </c:cat>
          <c:val>
            <c:numRef>
              <c:f>Pivot_Engine!$K$5:$K$8</c:f>
              <c:numCache>
                <c:formatCode>General</c:formatCode>
                <c:ptCount val="3"/>
                <c:pt idx="0">
                  <c:v>997</c:v>
                </c:pt>
                <c:pt idx="1">
                  <c:v>314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60A-4DEA-811B-D2B7CB191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1524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38100</xdr:rowOff>
    </xdr:from>
    <xdr:to>
      <xdr:col>7</xdr:col>
      <xdr:colOff>476250</xdr:colOff>
      <xdr:row>29</xdr:row>
      <xdr:rowOff>95251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CA1367E-357F-41B3-8B64-06CA8958E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12</xdr:row>
      <xdr:rowOff>38100</xdr:rowOff>
    </xdr:from>
    <xdr:to>
      <xdr:col>13</xdr:col>
      <xdr:colOff>561975</xdr:colOff>
      <xdr:row>23</xdr:row>
      <xdr:rowOff>190499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4F8E221-5F6F-45FD-A124-06EA15ABE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104775</xdr:colOff>
      <xdr:row>25</xdr:row>
      <xdr:rowOff>114300</xdr:rowOff>
    </xdr:from>
    <xdr:to>
      <xdr:col>13</xdr:col>
      <xdr:colOff>552449</xdr:colOff>
      <xdr:row>38</xdr:row>
      <xdr:rowOff>152400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4C3428B-41CE-423D-B254-7FD35B376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3</xdr:row>
      <xdr:rowOff>0</xdr:rowOff>
    </xdr:from>
    <xdr:to>
      <xdr:col>4</xdr:col>
      <xdr:colOff>323850</xdr:colOff>
      <xdr:row>8</xdr:row>
      <xdr:rowOff>76200</xdr:rowOff>
    </xdr:to>
    <xdr:grpSp>
      <xdr:nvGrpSpPr>
        <xdr:cNvPr id="14" name="Gruppo 13">
          <a:extLst>
            <a:ext uri="{FF2B5EF4-FFF2-40B4-BE49-F238E27FC236}">
              <a16:creationId xmlns:a16="http://schemas.microsoft.com/office/drawing/2014/main" id="{5EB26334-EAAD-5FC0-5734-D5A1B6149D65}"/>
            </a:ext>
          </a:extLst>
        </xdr:cNvPr>
        <xdr:cNvGrpSpPr/>
      </xdr:nvGrpSpPr>
      <xdr:grpSpPr>
        <a:xfrm>
          <a:off x="19050" y="571500"/>
          <a:ext cx="2743200" cy="1028700"/>
          <a:chOff x="0" y="571500"/>
          <a:chExt cx="2743200" cy="1028700"/>
        </a:xfrm>
      </xdr:grpSpPr>
      <xdr:sp macro="" textlink="Pivot_Engine!N5">
        <xdr:nvSpPr>
          <xdr:cNvPr id="5" name="Rettangolo con angoli arrotondati 4">
            <a:extLst>
              <a:ext uri="{FF2B5EF4-FFF2-40B4-BE49-F238E27FC236}">
                <a16:creationId xmlns:a16="http://schemas.microsoft.com/office/drawing/2014/main" id="{6B0B39C3-93FF-2ACA-C8B8-CDBEFA575000}"/>
              </a:ext>
            </a:extLst>
          </xdr:cNvPr>
          <xdr:cNvSpPr/>
        </xdr:nvSpPr>
        <xdr:spPr>
          <a:xfrm>
            <a:off x="0" y="571500"/>
            <a:ext cx="2743200" cy="10287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38100" dist="50800" dir="5400000" sx="103000" sy="103000" algn="ctr" rotWithShape="0">
              <a:srgbClr val="000000">
                <a:alpha val="46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CA436FD-BAB1-4131-9C99-8881B1CD40FD}" type="TxLink">
              <a:rPr lang="en-US" sz="2200" b="1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2.461 Mld $</a:t>
            </a:fld>
            <a:endParaRPr lang="en-US" sz="2200" b="1">
              <a:solidFill>
                <a:schemeClr val="tx2"/>
              </a:solidFill>
            </a:endParaRPr>
          </a:p>
        </xdr:txBody>
      </xdr:sp>
      <xdr:sp macro="" textlink="">
        <xdr:nvSpPr>
          <xdr:cNvPr id="8" name="CasellaDiTesto 7">
            <a:extLst>
              <a:ext uri="{FF2B5EF4-FFF2-40B4-BE49-F238E27FC236}">
                <a16:creationId xmlns:a16="http://schemas.microsoft.com/office/drawing/2014/main" id="{B90BBAF8-3287-99AA-B9A6-E95881495084}"/>
              </a:ext>
            </a:extLst>
          </xdr:cNvPr>
          <xdr:cNvSpPr txBox="1"/>
        </xdr:nvSpPr>
        <xdr:spPr>
          <a:xfrm>
            <a:off x="625575" y="628650"/>
            <a:ext cx="141853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it-IT" sz="900" b="1">
                <a:solidFill>
                  <a:schemeClr val="tx1">
                    <a:lumMod val="65000"/>
                    <a:lumOff val="35000"/>
                  </a:schemeClr>
                </a:solidFill>
              </a:rPr>
              <a:t>TOTAL</a:t>
            </a:r>
            <a:r>
              <a:rPr lang="it-IT" sz="9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WORLD SPENDING</a:t>
            </a:r>
            <a:endParaRPr lang="it-IT" sz="9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571500</xdr:colOff>
      <xdr:row>3</xdr:row>
      <xdr:rowOff>0</xdr:rowOff>
    </xdr:from>
    <xdr:to>
      <xdr:col>9</xdr:col>
      <xdr:colOff>266700</xdr:colOff>
      <xdr:row>8</xdr:row>
      <xdr:rowOff>76200</xdr:rowOff>
    </xdr:to>
    <xdr:grpSp>
      <xdr:nvGrpSpPr>
        <xdr:cNvPr id="20" name="Gruppo 19">
          <a:extLst>
            <a:ext uri="{FF2B5EF4-FFF2-40B4-BE49-F238E27FC236}">
              <a16:creationId xmlns:a16="http://schemas.microsoft.com/office/drawing/2014/main" id="{E9D21EF5-1578-47FD-A3E8-29C34142AAD2}"/>
            </a:ext>
          </a:extLst>
        </xdr:cNvPr>
        <xdr:cNvGrpSpPr/>
      </xdr:nvGrpSpPr>
      <xdr:grpSpPr>
        <a:xfrm>
          <a:off x="3009900" y="571500"/>
          <a:ext cx="2743200" cy="1028700"/>
          <a:chOff x="0" y="571500"/>
          <a:chExt cx="2743200" cy="1028700"/>
        </a:xfrm>
      </xdr:grpSpPr>
      <xdr:sp macro="" textlink="Pivot_Engine!N8">
        <xdr:nvSpPr>
          <xdr:cNvPr id="21" name="Rettangolo con angoli arrotondati 20">
            <a:extLst>
              <a:ext uri="{FF2B5EF4-FFF2-40B4-BE49-F238E27FC236}">
                <a16:creationId xmlns:a16="http://schemas.microsoft.com/office/drawing/2014/main" id="{4DC2001F-4A9F-1EDE-A190-AA263FA49288}"/>
              </a:ext>
            </a:extLst>
          </xdr:cNvPr>
          <xdr:cNvSpPr/>
        </xdr:nvSpPr>
        <xdr:spPr>
          <a:xfrm>
            <a:off x="0" y="571500"/>
            <a:ext cx="2743200" cy="10287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38100" dist="50800" dir="5400000" sx="103000" sy="103000" algn="ctr" rotWithShape="0">
              <a:srgbClr val="000000">
                <a:alpha val="46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6764223-CBEC-4DF1-A95E-9301F7969340}" type="TxLink">
              <a:rPr lang="en-US" sz="2200" b="1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33</a:t>
            </a:fld>
            <a:endParaRPr lang="en-US" sz="2200" b="1">
              <a:solidFill>
                <a:schemeClr val="tx2"/>
              </a:solidFill>
            </a:endParaRPr>
          </a:p>
        </xdr:txBody>
      </xdr:sp>
      <xdr:sp macro="" textlink="">
        <xdr:nvSpPr>
          <xdr:cNvPr id="22" name="CasellaDiTesto 21">
            <a:extLst>
              <a:ext uri="{FF2B5EF4-FFF2-40B4-BE49-F238E27FC236}">
                <a16:creationId xmlns:a16="http://schemas.microsoft.com/office/drawing/2014/main" id="{7078F01C-85B1-4B61-9DD5-B9DB074A1E7B}"/>
              </a:ext>
            </a:extLst>
          </xdr:cNvPr>
          <xdr:cNvSpPr txBox="1"/>
        </xdr:nvSpPr>
        <xdr:spPr>
          <a:xfrm>
            <a:off x="659019" y="628650"/>
            <a:ext cx="1351653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it-IT" sz="9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  </a:t>
            </a:r>
            <a:r>
              <a:rPr lang="it-IT" sz="900" b="1">
                <a:solidFill>
                  <a:schemeClr val="tx1">
                    <a:lumMod val="65000"/>
                    <a:lumOff val="35000"/>
                  </a:schemeClr>
                </a:solidFill>
              </a:rPr>
              <a:t>COUNTRIES</a:t>
            </a:r>
            <a:r>
              <a:rPr lang="it-IT" sz="9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ANALYSED</a:t>
            </a:r>
          </a:p>
        </xdr:txBody>
      </xdr:sp>
    </xdr:grpSp>
    <xdr:clientData/>
  </xdr:twoCellAnchor>
  <xdr:twoCellAnchor>
    <xdr:from>
      <xdr:col>9</xdr:col>
      <xdr:colOff>514350</xdr:colOff>
      <xdr:row>3</xdr:row>
      <xdr:rowOff>0</xdr:rowOff>
    </xdr:from>
    <xdr:to>
      <xdr:col>14</xdr:col>
      <xdr:colOff>209550</xdr:colOff>
      <xdr:row>8</xdr:row>
      <xdr:rowOff>76200</xdr:rowOff>
    </xdr:to>
    <xdr:grpSp>
      <xdr:nvGrpSpPr>
        <xdr:cNvPr id="23" name="Gruppo 22">
          <a:extLst>
            <a:ext uri="{FF2B5EF4-FFF2-40B4-BE49-F238E27FC236}">
              <a16:creationId xmlns:a16="http://schemas.microsoft.com/office/drawing/2014/main" id="{DB792CBA-833C-4C3A-914F-103D9971AE0A}"/>
            </a:ext>
          </a:extLst>
        </xdr:cNvPr>
        <xdr:cNvGrpSpPr/>
      </xdr:nvGrpSpPr>
      <xdr:grpSpPr>
        <a:xfrm>
          <a:off x="6000750" y="571500"/>
          <a:ext cx="2743200" cy="1028700"/>
          <a:chOff x="0" y="571500"/>
          <a:chExt cx="2743200" cy="1028700"/>
        </a:xfrm>
      </xdr:grpSpPr>
      <xdr:sp macro="" textlink="Pivot_Engine!N11">
        <xdr:nvSpPr>
          <xdr:cNvPr id="24" name="Rettangolo con angoli arrotondati 23">
            <a:extLst>
              <a:ext uri="{FF2B5EF4-FFF2-40B4-BE49-F238E27FC236}">
                <a16:creationId xmlns:a16="http://schemas.microsoft.com/office/drawing/2014/main" id="{CBB75C78-C38B-80CF-4055-974CBCB41E9F}"/>
              </a:ext>
            </a:extLst>
          </xdr:cNvPr>
          <xdr:cNvSpPr/>
        </xdr:nvSpPr>
        <xdr:spPr>
          <a:xfrm>
            <a:off x="0" y="571500"/>
            <a:ext cx="2743200" cy="10287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38100" dist="50800" dir="5400000" sx="103000" sy="103000" algn="ctr" rotWithShape="0">
              <a:srgbClr val="000000">
                <a:alpha val="46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51D2516-B697-4BF1-A4B3-76872642ECC2}" type="TxLink">
              <a:rPr lang="en-US" sz="2200" b="1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14,39%</a:t>
            </a:fld>
            <a:endParaRPr lang="en-US" sz="2200" b="1">
              <a:solidFill>
                <a:schemeClr val="tx2"/>
              </a:solidFill>
            </a:endParaRPr>
          </a:p>
        </xdr:txBody>
      </xdr:sp>
      <xdr:sp macro="" textlink="">
        <xdr:nvSpPr>
          <xdr:cNvPr id="25" name="CasellaDiTesto 24">
            <a:extLst>
              <a:ext uri="{FF2B5EF4-FFF2-40B4-BE49-F238E27FC236}">
                <a16:creationId xmlns:a16="http://schemas.microsoft.com/office/drawing/2014/main" id="{23E5BD75-5E0E-A057-1668-1DA8B46D6EC9}"/>
              </a:ext>
            </a:extLst>
          </xdr:cNvPr>
          <xdr:cNvSpPr txBox="1"/>
        </xdr:nvSpPr>
        <xdr:spPr>
          <a:xfrm>
            <a:off x="700695" y="628650"/>
            <a:ext cx="1268297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it-IT" sz="900" b="1">
                <a:solidFill>
                  <a:schemeClr val="tx1">
                    <a:lumMod val="65000"/>
                    <a:lumOff val="35000"/>
                  </a:schemeClr>
                </a:solidFill>
              </a:rPr>
              <a:t>  AVERAGE</a:t>
            </a:r>
            <a:r>
              <a:rPr lang="it-IT" sz="9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CHANGE %</a:t>
            </a:r>
            <a:endParaRPr lang="it-IT" sz="9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14</xdr:col>
      <xdr:colOff>242887</xdr:colOff>
      <xdr:row>12</xdr:row>
      <xdr:rowOff>38100</xdr:rowOff>
    </xdr:from>
    <xdr:to>
      <xdr:col>17</xdr:col>
      <xdr:colOff>242887</xdr:colOff>
      <xdr:row>19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Spending Category">
              <a:extLst>
                <a:ext uri="{FF2B5EF4-FFF2-40B4-BE49-F238E27FC236}">
                  <a16:creationId xmlns:a16="http://schemas.microsoft.com/office/drawing/2014/main" id="{4F91A160-9C3E-34F2-AAC3-EAE21E5FF1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nding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77287" y="2324100"/>
              <a:ext cx="18288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242887</xdr:colOff>
      <xdr:row>20</xdr:row>
      <xdr:rowOff>76200</xdr:rowOff>
    </xdr:from>
    <xdr:to>
      <xdr:col>17</xdr:col>
      <xdr:colOff>242887</xdr:colOff>
      <xdr:row>33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Region">
              <a:extLst>
                <a:ext uri="{FF2B5EF4-FFF2-40B4-BE49-F238E27FC236}">
                  <a16:creationId xmlns:a16="http://schemas.microsoft.com/office/drawing/2014/main" id="{0DD4C955-A126-DBD1-16E7-0AF6CDE9F1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77287" y="388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242887</xdr:colOff>
      <xdr:row>34</xdr:row>
      <xdr:rowOff>142875</xdr:rowOff>
    </xdr:from>
    <xdr:to>
      <xdr:col>17</xdr:col>
      <xdr:colOff>242887</xdr:colOff>
      <xdr:row>38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NATO">
              <a:extLst>
                <a:ext uri="{FF2B5EF4-FFF2-40B4-BE49-F238E27FC236}">
                  <a16:creationId xmlns:a16="http://schemas.microsoft.com/office/drawing/2014/main" id="{8F53986C-7A4B-75CE-84D5-8BC494F8F4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77287" y="6619875"/>
              <a:ext cx="1828800" cy="733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ky" refreshedDate="46217.509721527778" createdVersion="8" refreshedVersion="8" minRefreshableVersion="3" recordCount="33" xr:uid="{9546CDF7-2509-44BC-AC46-A18D7514285B}">
  <cacheSource type="worksheet">
    <worksheetSource name="SpendTable"/>
  </cacheSource>
  <cacheFields count="12">
    <cacheField name="Country" numFmtId="0">
      <sharedItems count="33">
        <s v="United States"/>
        <s v="China"/>
        <s v="Russia"/>
        <s v="Germany"/>
        <s v="India"/>
        <s v="United Kingdom"/>
        <s v="Saudi Arabia"/>
        <s v="Ukraine"/>
        <s v="France"/>
        <s v="Japan"/>
        <s v="South Korea"/>
        <s v="Israel"/>
        <s v="Poland"/>
        <s v="Italy"/>
        <s v="Australia"/>
        <s v="Canada"/>
        <s v="Turkey"/>
        <s v="Spain"/>
        <s v="Brazil"/>
        <s v="Algeria"/>
        <s v="Netherlands"/>
        <s v="Taiwan"/>
        <s v="Singapore"/>
        <s v="Mexico"/>
        <s v="Sweden"/>
        <s v="Norway"/>
        <s v="Indonesia"/>
        <s v="Pakistan"/>
        <s v="Denmark"/>
        <s v="Colombia"/>
        <s v="Belgium"/>
        <s v="Greece"/>
        <s v="Switzerland"/>
      </sharedItems>
    </cacheField>
    <cacheField name="Spending 2023 (bn $)" numFmtId="0">
      <sharedItems containsMixedTypes="1" containsNumber="1" minValue="6.3" maxValue="916"/>
    </cacheField>
    <cacheField name="Spending 2024 (bn $)" numFmtId="0">
      <sharedItems containsSemiMixedTypes="0" containsString="0" containsNumber="1" minValue="6.8" maxValue="997"/>
    </cacheField>
    <cacheField name="% GDP 2024" numFmtId="0">
      <sharedItems containsMixedTypes="1" containsNumber="1" minValue="0.6" maxValue="34.5"/>
    </cacheField>
    <cacheField name="Trend" numFmtId="0">
      <sharedItems count="2">
        <s v="Increasing"/>
        <s v="Decreasing"/>
      </sharedItems>
    </cacheField>
    <cacheField name="Spending Category" numFmtId="0">
      <sharedItems count="3">
        <s v="High"/>
        <s v="Medium"/>
        <s v="Low"/>
      </sharedItems>
    </cacheField>
    <cacheField name="% Change" numFmtId="10">
      <sharedItems containsString="0" containsBlank="1" containsNumber="1" minValue="-6.5420560747663503E-2" maxValue="0.69090909090909103"/>
    </cacheField>
    <cacheField name="Military Effort" numFmtId="0">
      <sharedItems/>
    </cacheField>
    <cacheField name="Region" numFmtId="0">
      <sharedItems count="10">
        <s v="North America"/>
        <s v="East Asia"/>
        <s v="Eastern Europe"/>
        <s v="Western Europe"/>
        <s v="South Asia"/>
        <s v="Middle East"/>
        <s v="Oceania"/>
        <s v="Latin America"/>
        <s v="North Africa"/>
        <s v="Southeast Asia"/>
      </sharedItems>
      <fieldGroup par="11"/>
    </cacheField>
    <cacheField name="NATO" numFmtId="0">
      <sharedItems count="2">
        <s v="Yes"/>
        <s v="No"/>
      </sharedItems>
    </cacheField>
    <cacheField name="Continent" numFmtId="0">
      <sharedItems/>
    </cacheField>
    <cacheField name="Region2" numFmtId="0" databaseField="0">
      <fieldGroup base="8">
        <discretePr count="10">
          <x v="0"/>
          <x v="1"/>
          <x v="2"/>
          <x v="3"/>
          <x v="5"/>
          <x v="4"/>
          <x v="5"/>
          <x v="5"/>
          <x v="5"/>
          <x v="5"/>
        </discretePr>
        <groupItems count="6">
          <s v="North America"/>
          <s v="East Asia"/>
          <s v="Eastern Europe"/>
          <s v="Western Europe"/>
          <s v="Middle East"/>
          <s v="Gruppo1"/>
        </groupItems>
      </fieldGroup>
    </cacheField>
  </cacheFields>
  <extLst>
    <ext xmlns:x14="http://schemas.microsoft.com/office/spreadsheetml/2009/9/main" uri="{725AE2AE-9491-48be-B2B4-4EB974FC3084}">
      <x14:pivotCacheDefinition pivotCacheId="13054783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n v="916"/>
    <n v="997"/>
    <n v="3.4"/>
    <x v="0"/>
    <x v="0"/>
    <n v="8.8427947598253301E-2"/>
    <s v="Medium Effort"/>
    <x v="0"/>
    <x v="0"/>
    <s v="Americas"/>
  </r>
  <r>
    <x v="1"/>
    <n v="296"/>
    <n v="314"/>
    <n v="1.7"/>
    <x v="0"/>
    <x v="0"/>
    <n v="6.08108108108108E-2"/>
    <s v="Low Effort"/>
    <x v="1"/>
    <x v="1"/>
    <s v="Asia"/>
  </r>
  <r>
    <x v="2"/>
    <n v="109"/>
    <n v="149"/>
    <n v="7.1"/>
    <x v="0"/>
    <x v="0"/>
    <n v="0.36697247706421998"/>
    <s v="High Effort"/>
    <x v="2"/>
    <x v="1"/>
    <s v="Europe"/>
  </r>
  <r>
    <x v="3"/>
    <n v="66.8"/>
    <n v="88.5"/>
    <n v="1.9"/>
    <x v="0"/>
    <x v="1"/>
    <n v="0.32485029940119797"/>
    <s v="Low Effort"/>
    <x v="3"/>
    <x v="0"/>
    <s v="Europe"/>
  </r>
  <r>
    <x v="4"/>
    <n v="83.6"/>
    <n v="86.1"/>
    <n v="2.2999999999999998"/>
    <x v="0"/>
    <x v="1"/>
    <n v="2.9904306220095701E-2"/>
    <s v="Medium Effort"/>
    <x v="4"/>
    <x v="1"/>
    <s v="Asia"/>
  </r>
  <r>
    <x v="5"/>
    <n v="74.900000000000006"/>
    <n v="81.8"/>
    <n v="2.2999999999999998"/>
    <x v="0"/>
    <x v="1"/>
    <n v="9.2122830440587306E-2"/>
    <s v="Medium Effort"/>
    <x v="3"/>
    <x v="0"/>
    <s v="Europe"/>
  </r>
  <r>
    <x v="6"/>
    <n v="75.8"/>
    <n v="80.3"/>
    <n v="7.3"/>
    <x v="0"/>
    <x v="1"/>
    <n v="5.9366754617414301E-2"/>
    <s v="High Effort"/>
    <x v="5"/>
    <x v="1"/>
    <s v="Asia"/>
  </r>
  <r>
    <x v="7"/>
    <n v="64.8"/>
    <n v="64.7"/>
    <n v="34.5"/>
    <x v="1"/>
    <x v="1"/>
    <n v="-1.54320987654312E-3"/>
    <s v="High Effort"/>
    <x v="2"/>
    <x v="1"/>
    <s v="Europe"/>
  </r>
  <r>
    <x v="8"/>
    <n v="61.3"/>
    <n v="64.7"/>
    <n v="2.1"/>
    <x v="0"/>
    <x v="1"/>
    <n v="5.5464926590538401E-2"/>
    <s v="Medium Effort"/>
    <x v="3"/>
    <x v="0"/>
    <s v="Europe"/>
  </r>
  <r>
    <x v="9"/>
    <n v="50.2"/>
    <n v="55.3"/>
    <n v="1.4"/>
    <x v="0"/>
    <x v="1"/>
    <n v="0.101593625498008"/>
    <s v="Low Effort"/>
    <x v="1"/>
    <x v="1"/>
    <s v="Asia"/>
  </r>
  <r>
    <x v="10"/>
    <n v="47.9"/>
    <n v="47.6"/>
    <n v="2.6"/>
    <x v="1"/>
    <x v="1"/>
    <n v="-6.2630480167014E-3"/>
    <s v="Medium Effort"/>
    <x v="1"/>
    <x v="1"/>
    <s v="Asia"/>
  </r>
  <r>
    <x v="11"/>
    <n v="27.5"/>
    <n v="46.5"/>
    <n v="8.8000000000000007"/>
    <x v="0"/>
    <x v="1"/>
    <n v="0.69090909090909103"/>
    <s v="High Effort"/>
    <x v="5"/>
    <x v="1"/>
    <s v="Asia"/>
  </r>
  <r>
    <x v="12"/>
    <n v="31.6"/>
    <n v="38"/>
    <n v="4.2"/>
    <x v="0"/>
    <x v="1"/>
    <n v="0.20253164556962"/>
    <s v="Medium Effort"/>
    <x v="2"/>
    <x v="0"/>
    <s v="Europe"/>
  </r>
  <r>
    <x v="13"/>
    <n v="35.5"/>
    <n v="38"/>
    <n v="1.6"/>
    <x v="0"/>
    <x v="1"/>
    <n v="7.0422535211267595E-2"/>
    <s v="Low Effort"/>
    <x v="3"/>
    <x v="0"/>
    <s v="Europe"/>
  </r>
  <r>
    <x v="14"/>
    <n v="32.299999999999997"/>
    <n v="33.799999999999997"/>
    <n v="1.9"/>
    <x v="0"/>
    <x v="1"/>
    <n v="4.6439628482972103E-2"/>
    <s v="Low Effort"/>
    <x v="6"/>
    <x v="1"/>
    <s v="Oceania"/>
  </r>
  <r>
    <x v="15"/>
    <n v="27.2"/>
    <n v="29.3"/>
    <n v="1.3"/>
    <x v="0"/>
    <x v="2"/>
    <n v="7.7205882352941194E-2"/>
    <s v="Low Effort"/>
    <x v="0"/>
    <x v="0"/>
    <s v="Americas"/>
  </r>
  <r>
    <x v="16"/>
    <n v="15.8"/>
    <n v="25"/>
    <n v="1.9"/>
    <x v="0"/>
    <x v="2"/>
    <n v="0.582278481012658"/>
    <s v="Low Effort"/>
    <x v="5"/>
    <x v="0"/>
    <s v="Asia"/>
  </r>
  <r>
    <x v="17"/>
    <n v="23.7"/>
    <n v="24.5"/>
    <n v="1.5"/>
    <x v="0"/>
    <x v="2"/>
    <n v="3.37552742616034E-2"/>
    <s v="Low Effort"/>
    <x v="3"/>
    <x v="0"/>
    <s v="Europe"/>
  </r>
  <r>
    <x v="18"/>
    <n v="22.9"/>
    <n v="23.4"/>
    <n v="1.1000000000000001"/>
    <x v="0"/>
    <x v="2"/>
    <n v="2.1834061135371199E-2"/>
    <s v="Low Effort"/>
    <x v="7"/>
    <x v="1"/>
    <s v="Americas"/>
  </r>
  <r>
    <x v="19"/>
    <s v="n.d."/>
    <n v="21.8"/>
    <n v="8"/>
    <x v="1"/>
    <x v="2"/>
    <m/>
    <s v="High Effort"/>
    <x v="8"/>
    <x v="1"/>
    <s v="Africa"/>
  </r>
  <r>
    <x v="20"/>
    <n v="16.600000000000001"/>
    <n v="21.5"/>
    <n v="1.9"/>
    <x v="0"/>
    <x v="2"/>
    <n v="0.29518072289156599"/>
    <s v="Low Effort"/>
    <x v="3"/>
    <x v="0"/>
    <s v="Europe"/>
  </r>
  <r>
    <x v="21"/>
    <n v="16.600000000000001"/>
    <n v="16.5"/>
    <s v="n.d."/>
    <x v="1"/>
    <x v="2"/>
    <n v="-6.0240963855422497E-3"/>
    <s v="High Effort"/>
    <x v="1"/>
    <x v="1"/>
    <s v="Asia"/>
  </r>
  <r>
    <x v="22"/>
    <n v="13.7"/>
    <n v="14.2"/>
    <n v="2.8"/>
    <x v="0"/>
    <x v="2"/>
    <n v="3.6496350364963501E-2"/>
    <s v="Medium Effort"/>
    <x v="9"/>
    <x v="1"/>
    <s v="Asia"/>
  </r>
  <r>
    <x v="23"/>
    <n v="11.8"/>
    <n v="12.5"/>
    <n v="0.6"/>
    <x v="0"/>
    <x v="2"/>
    <n v="5.9322033898305003E-2"/>
    <s v="Low Effort"/>
    <x v="7"/>
    <x v="1"/>
    <s v="Americas"/>
  </r>
  <r>
    <x v="24"/>
    <n v="8.8000000000000007"/>
    <n v="12"/>
    <n v="2"/>
    <x v="0"/>
    <x v="2"/>
    <n v="0.36363636363636398"/>
    <s v="Medium Effort"/>
    <x v="3"/>
    <x v="0"/>
    <s v="Europe"/>
  </r>
  <r>
    <x v="25"/>
    <n v="8.6999999999999993"/>
    <n v="10.9"/>
    <n v="2.2000000000000002"/>
    <x v="0"/>
    <x v="2"/>
    <n v="0.252873563218391"/>
    <s v="Medium Effort"/>
    <x v="3"/>
    <x v="0"/>
    <s v="Europe"/>
  </r>
  <r>
    <x v="26"/>
    <n v="9.5"/>
    <n v="10.6"/>
    <n v="0.8"/>
    <x v="0"/>
    <x v="2"/>
    <n v="0.11578947368421"/>
    <s v="Low Effort"/>
    <x v="9"/>
    <x v="1"/>
    <s v="Asia"/>
  </r>
  <r>
    <x v="27"/>
    <n v="8.5"/>
    <n v="10.199999999999999"/>
    <n v="2.7"/>
    <x v="0"/>
    <x v="2"/>
    <n v="0.2"/>
    <s v="Medium Effort"/>
    <x v="4"/>
    <x v="1"/>
    <s v="Asia"/>
  </r>
  <r>
    <x v="28"/>
    <n v="8.1"/>
    <n v="10"/>
    <n v="2.4"/>
    <x v="0"/>
    <x v="2"/>
    <n v="0.234567901234568"/>
    <s v="Medium Effort"/>
    <x v="3"/>
    <x v="0"/>
    <s v="Europe"/>
  </r>
  <r>
    <x v="29"/>
    <n v="10.7"/>
    <n v="10"/>
    <n v="2.4"/>
    <x v="1"/>
    <x v="2"/>
    <n v="-6.5420560747663503E-2"/>
    <s v="Medium Effort"/>
    <x v="7"/>
    <x v="1"/>
    <s v="Americas"/>
  </r>
  <r>
    <x v="30"/>
    <n v="7.7"/>
    <n v="8.5"/>
    <n v="1.3"/>
    <x v="0"/>
    <x v="2"/>
    <n v="0.103896103896104"/>
    <s v="Low Effort"/>
    <x v="3"/>
    <x v="0"/>
    <s v="Europe"/>
  </r>
  <r>
    <x v="31"/>
    <n v="7.7"/>
    <n v="8"/>
    <n v="3.1"/>
    <x v="0"/>
    <x v="2"/>
    <n v="3.8961038961038898E-2"/>
    <s v="Medium Effort"/>
    <x v="3"/>
    <x v="0"/>
    <s v="Europe"/>
  </r>
  <r>
    <x v="32"/>
    <n v="6.3"/>
    <n v="6.8"/>
    <n v="0.7"/>
    <x v="0"/>
    <x v="2"/>
    <n v="7.9365079365079402E-2"/>
    <s v="Low Effort"/>
    <x v="3"/>
    <x v="1"/>
    <s v="Europ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0595E-539B-4FF9-8A4A-23246897F987}" name="pvt_trend" cacheId="0" dataOnRows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4">
  <location ref="E4:F6" firstHeaderRow="1" firstDataRow="1" firstDataCol="1"/>
  <pivotFields count="12">
    <pivotField showAll="0"/>
    <pivotField dataField="1" showAll="0"/>
    <pivotField dataField="1" showAll="0"/>
    <pivotField showAll="0"/>
    <pivotField showAll="0"/>
    <pivotField showAll="0">
      <items count="4">
        <item x="0"/>
        <item h="1" x="2"/>
        <item h="1" x="1"/>
        <item t="default"/>
      </items>
    </pivotField>
    <pivotField showAll="0"/>
    <pivotField showAll="0"/>
    <pivotField showAll="0">
      <items count="11">
        <item x="1"/>
        <item x="2"/>
        <item x="7"/>
        <item x="5"/>
        <item x="8"/>
        <item x="0"/>
        <item x="6"/>
        <item x="4"/>
        <item x="9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7">
        <item x="1"/>
        <item x="2"/>
        <item x="5"/>
        <item x="4"/>
        <item x="0"/>
        <item x="3"/>
        <item t="default"/>
      </items>
    </pivotField>
  </pivotFields>
  <rowFields count="1">
    <field x="-2"/>
  </rowFields>
  <rowItems count="2">
    <i>
      <x/>
    </i>
    <i i="1">
      <x v="1"/>
    </i>
  </rowItems>
  <colItems count="1">
    <i/>
  </colItems>
  <dataFields count="2">
    <dataField name="Somma di Spending 2023 (bn $)" fld="1" baseField="0" baseItem="1"/>
    <dataField name="Somma di Spending 2024 (bn $)" fld="2" baseField="0" baseItem="1"/>
  </dataFields>
  <chartFormats count="3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2CD93-187D-4D87-8FE2-F397A438DBBA}" name="pvt_top10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>
  <location ref="A4:B8" firstHeaderRow="1" firstDataRow="1" firstDataCol="1"/>
  <pivotFields count="12">
    <pivotField axis="axisRow" showAll="0" measureFilter="1" sortType="ascending">
      <items count="34">
        <item x="19"/>
        <item x="14"/>
        <item x="30"/>
        <item x="18"/>
        <item x="15"/>
        <item x="1"/>
        <item x="29"/>
        <item x="28"/>
        <item x="8"/>
        <item x="3"/>
        <item x="31"/>
        <item x="4"/>
        <item x="26"/>
        <item x="11"/>
        <item x="13"/>
        <item x="9"/>
        <item x="23"/>
        <item x="20"/>
        <item x="25"/>
        <item x="27"/>
        <item x="12"/>
        <item x="2"/>
        <item x="6"/>
        <item x="22"/>
        <item x="10"/>
        <item x="17"/>
        <item x="24"/>
        <item x="32"/>
        <item x="21"/>
        <item x="16"/>
        <item x="7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4">
        <item x="0"/>
        <item h="1" x="2"/>
        <item h="1" x="1"/>
        <item t="default"/>
      </items>
    </pivotField>
    <pivotField showAll="0"/>
    <pivotField showAll="0"/>
    <pivotField showAll="0">
      <items count="11">
        <item x="1"/>
        <item x="2"/>
        <item x="7"/>
        <item x="5"/>
        <item x="8"/>
        <item x="0"/>
        <item x="6"/>
        <item x="4"/>
        <item x="9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7">
        <item x="1"/>
        <item x="2"/>
        <item x="5"/>
        <item x="4"/>
        <item x="0"/>
        <item x="3"/>
        <item t="default"/>
      </items>
    </pivotField>
  </pivotFields>
  <rowFields count="1">
    <field x="0"/>
  </rowFields>
  <rowItems count="4">
    <i>
      <x v="21"/>
    </i>
    <i>
      <x v="5"/>
    </i>
    <i>
      <x v="32"/>
    </i>
    <i t="grand">
      <x/>
    </i>
  </rowItems>
  <colItems count="1">
    <i/>
  </colItems>
  <dataFields count="1">
    <dataField name="Somma di Spending 2024 (bn $)" fld="2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770C9-F896-4EBC-AA9B-B5B2DFFF6998}" name="pvt_region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J4:K8" firstHeaderRow="1" firstDataRow="1" firstDataCol="1"/>
  <pivotFields count="12">
    <pivotField showAll="0"/>
    <pivotField showAll="0"/>
    <pivotField dataField="1" showAll="0"/>
    <pivotField showAll="0"/>
    <pivotField showAll="0"/>
    <pivotField showAll="0">
      <items count="4">
        <item x="0"/>
        <item h="1" x="2"/>
        <item h="1" x="1"/>
        <item t="default"/>
      </items>
    </pivotField>
    <pivotField showAll="0"/>
    <pivotField showAll="0"/>
    <pivotField showAll="0">
      <items count="11">
        <item x="1"/>
        <item x="2"/>
        <item x="7"/>
        <item x="5"/>
        <item x="0"/>
        <item x="8"/>
        <item x="6"/>
        <item x="4"/>
        <item x="9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sortType="descending">
      <items count="7">
        <item x="1"/>
        <item x="2"/>
        <item n="Other" x="5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4">
    <i>
      <x v="4"/>
    </i>
    <i>
      <x/>
    </i>
    <i>
      <x v="1"/>
    </i>
    <i t="grand">
      <x/>
    </i>
  </rowItems>
  <colItems count="1">
    <i/>
  </colItems>
  <dataFields count="1">
    <dataField name="Somma di Spending 2024 (bn $)" fld="2" baseField="0" baseItem="0"/>
  </dataFields>
  <chartFormats count="7"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Spending_Category" xr10:uid="{553C5604-BD38-440D-A8FA-BDA279600B70}" sourceName="Spending Category">
  <pivotTables>
    <pivotTable tabId="6" name="pvt_top10"/>
    <pivotTable tabId="6" name="pvt_region"/>
    <pivotTable tabId="6" name="pvt_trend"/>
  </pivotTables>
  <data>
    <tabular pivotCacheId="1305478385">
      <items count="3">
        <i x="0" s="1"/>
        <i x="2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" xr10:uid="{55A28712-E387-4216-A18C-8BFB07F88D13}" sourceName="Region">
  <pivotTables>
    <pivotTable tabId="6" name="pvt_top10"/>
    <pivotTable tabId="6" name="pvt_region"/>
    <pivotTable tabId="6" name="pvt_trend"/>
  </pivotTables>
  <data>
    <tabular pivotCacheId="1305478385">
      <items count="10">
        <i x="1" s="1"/>
        <i x="2" s="1"/>
        <i x="0" s="1"/>
        <i x="7" s="1" nd="1"/>
        <i x="5" s="1" nd="1"/>
        <i x="8" s="1" nd="1"/>
        <i x="6" s="1" nd="1"/>
        <i x="4" s="1" nd="1"/>
        <i x="9" s="1" nd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NATO" xr10:uid="{5C13F183-D86F-4406-98BF-56EAE58A8D97}" sourceName="NATO">
  <pivotTables>
    <pivotTable tabId="6" name="pvt_top10"/>
    <pivotTable tabId="6" name="pvt_region"/>
    <pivotTable tabId="6" name="pvt_trend"/>
  </pivotTables>
  <data>
    <tabular pivotCacheId="1305478385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ending Category" xr10:uid="{EA1F4F1B-0FB4-41F2-9333-95EB0D406296}" cache="FiltroDati_Spending_Category" caption="Spending Category" style="SlicerStyleDark1" rowHeight="241300"/>
  <slicer name="Region" xr10:uid="{B3E54314-B17B-4BC1-A77C-3086D6B384D4}" cache="FiltroDati_Region" caption="Region" style="SlicerStyleDark1" rowHeight="241300"/>
  <slicer name="NATO" xr10:uid="{1C3A5300-0333-4435-A6E1-817047F212BB}" cache="FiltroDati_NATO" caption="NATO" columnCount="2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E54A1-15FF-4F69-A730-8240A7DADE5A}" name="SpendTable" displayName="SpendTable" ref="A1:K34" totalsRowShown="0" headerRowDxfId="14" headerRowBorderDxfId="13" tableBorderDxfId="12" totalsRowBorderDxfId="11">
  <autoFilter ref="A1:K34" xr:uid="{8D4E54A1-15FF-4F69-A730-8240A7DADE5A}"/>
  <sortState xmlns:xlrd2="http://schemas.microsoft.com/office/spreadsheetml/2017/richdata2" ref="A2:C34">
    <sortCondition descending="1" ref="C1:C34"/>
  </sortState>
  <tableColumns count="11">
    <tableColumn id="1" xr3:uid="{428C070D-4027-49CD-A940-40C2C98FB170}" name="Country" dataDxfId="10"/>
    <tableColumn id="2" xr3:uid="{354B73E0-E329-4326-81DC-ED35CE15B0F0}" name="Spending 2023 (bn $)" dataDxfId="9"/>
    <tableColumn id="3" xr3:uid="{8D8DB788-3E82-4F8A-956D-1091E124F2C6}" name="Spending 2024 (bn $)" dataDxfId="8"/>
    <tableColumn id="4" xr3:uid="{5C9C0798-6BA4-4499-A08D-D816E17A255F}" name="% GDP 2024" dataDxfId="7"/>
    <tableColumn id="5" xr3:uid="{ECA40F0C-40A1-4B37-9440-602B24D21A6C}" name="Trend" dataDxfId="6">
      <calculatedColumnFormula>IF(SpendTable[[#This Row],[Spending 2024 (bn $)]]&gt;SpendTable[[#This Row],[Spending 2023 (bn $)]],"Increasing",IF(SpendTable[[#This Row],[Spending 2024 (bn $)]]&lt;SpendTable[[#This Row],[Spending 2023 (bn $)]],"Decreasing","Stable"))</calculatedColumnFormula>
    </tableColumn>
    <tableColumn id="6" xr3:uid="{62288705-6AED-4398-A136-B5EF373C0FFB}" name="Spending Category" dataDxfId="5">
      <calculatedColumnFormula>IF(SpendTable[[#This Row],[Spending 2024 (bn $)]]&gt;=100,"High",IF(SpendTable[[#This Row],[Spending 2024 (bn $)]]&gt;=30,"Medium","Low"))</calculatedColumnFormula>
    </tableColumn>
    <tableColumn id="8" xr3:uid="{F608C14C-BA88-4D29-BCCC-DDEC350F39A0}" name="% Change" dataDxfId="4"/>
    <tableColumn id="9" xr3:uid="{D9261038-3263-4CE5-86C7-FF77182C219A}" name="Military Effort" dataDxfId="3">
      <calculatedColumnFormula>IF(SpendTable[[#This Row],[% GDP 2024]]&gt;=5,"High Effort",IF(SpendTable[[#This Row],[% GDP 2024]]&gt;=2,"Medium Effort","Low Effort"))</calculatedColumnFormula>
    </tableColumn>
    <tableColumn id="7" xr3:uid="{3135CC9C-9729-4E09-9CB5-A960B25D514C}" name="Region" dataDxfId="2">
      <calculatedColumnFormula>VLOOKUP(SpendTable[[#This Row],[Country]],Countries_Registry!$A$1:$D$34,2,FALSE)</calculatedColumnFormula>
    </tableColumn>
    <tableColumn id="10" xr3:uid="{E35D91E4-31B4-47A4-8C51-7416628705B9}" name="NATO" dataDxfId="1">
      <calculatedColumnFormula>VLOOKUP(SpendTable[[#This Row],[Country]],Countries_Registry!$A$1:$D$34,3,FALSE)</calculatedColumnFormula>
    </tableColumn>
    <tableColumn id="11" xr3:uid="{18C29B7C-DC87-41B0-8933-BFF295CCA1AF}" name="Continent" dataDxfId="0">
      <calculatedColumnFormula>VLOOKUP(SpendTable[[#This Row],[Country]],Countries_Registry!$A$1:$D$34,4,FALSE)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1B8C-8D90-4BEB-A31A-D9D7CE360EF0}">
  <dimension ref="A1:R2"/>
  <sheetViews>
    <sheetView showGridLines="0" showRowColHeaders="0" tabSelected="1" workbookViewId="0">
      <selection activeCell="AC2" sqref="AC2"/>
    </sheetView>
  </sheetViews>
  <sheetFormatPr defaultRowHeight="15" x14ac:dyDescent="0.25"/>
  <cols>
    <col min="1" max="16384" width="9.140625" style="27"/>
  </cols>
  <sheetData>
    <row r="1" spans="1:18" x14ac:dyDescent="0.25">
      <c r="A1" s="30" t="s">
        <v>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29"/>
      <c r="R1" s="29"/>
    </row>
    <row r="2" spans="1:18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9"/>
      <c r="R2" s="29"/>
    </row>
  </sheetData>
  <mergeCells count="1">
    <mergeCell ref="A1:P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FCB-253F-474B-BAF6-37F23D06B1E8}">
  <dimension ref="A1:K39"/>
  <sheetViews>
    <sheetView workbookViewId="0">
      <pane ySplit="1" topLeftCell="A2" activePane="bottomLeft" state="frozen"/>
      <selection pane="bottomLeft" activeCell="C33" sqref="C33"/>
    </sheetView>
  </sheetViews>
  <sheetFormatPr defaultRowHeight="15" x14ac:dyDescent="0.25"/>
  <cols>
    <col min="1" max="1" width="18" customWidth="1"/>
    <col min="2" max="2" width="26.28515625" customWidth="1"/>
    <col min="3" max="3" width="26" customWidth="1"/>
    <col min="4" max="4" width="17.42578125" customWidth="1"/>
    <col min="5" max="5" width="11.140625" customWidth="1"/>
    <col min="6" max="6" width="23.85546875" customWidth="1"/>
    <col min="7" max="7" width="15.42578125" style="18" customWidth="1"/>
    <col min="8" max="8" width="17.5703125" customWidth="1"/>
    <col min="9" max="9" width="14.28515625" customWidth="1"/>
    <col min="11" max="11" width="15.85546875" customWidth="1"/>
  </cols>
  <sheetData>
    <row r="1" spans="1:11" x14ac:dyDescent="0.25">
      <c r="A1" s="10" t="s">
        <v>18</v>
      </c>
      <c r="B1" s="11" t="s">
        <v>19</v>
      </c>
      <c r="C1" s="11" t="s">
        <v>20</v>
      </c>
      <c r="D1" s="12" t="s">
        <v>21</v>
      </c>
      <c r="E1" s="16" t="s">
        <v>17</v>
      </c>
      <c r="F1" s="16" t="s">
        <v>62</v>
      </c>
      <c r="G1" s="17" t="s">
        <v>63</v>
      </c>
      <c r="H1" s="16" t="s">
        <v>64</v>
      </c>
      <c r="I1" s="19" t="s">
        <v>46</v>
      </c>
      <c r="J1" s="19" t="s">
        <v>12</v>
      </c>
      <c r="K1" s="19" t="s">
        <v>47</v>
      </c>
    </row>
    <row r="2" spans="1:11" x14ac:dyDescent="0.25">
      <c r="A2" s="5" t="s">
        <v>22</v>
      </c>
      <c r="B2" s="3">
        <v>916</v>
      </c>
      <c r="C2" s="3">
        <v>997</v>
      </c>
      <c r="D2" s="7">
        <v>3.4</v>
      </c>
      <c r="E2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" t="str">
        <f>IF(SpendTable[[#This Row],[Spending 2024 (bn $)]]&gt;=100,"High",IF(SpendTable[[#This Row],[Spending 2024 (bn $)]]&gt;=30,"Medium","Low"))</f>
        <v>High</v>
      </c>
      <c r="G2" s="18">
        <v>8.8427947598253301E-2</v>
      </c>
      <c r="H2" t="str">
        <f>IF(SpendTable[[#This Row],[% GDP 2024]]&gt;=5,"High Effort",IF(SpendTable[[#This Row],[% GDP 2024]]&gt;=2,"Medium Effort","Low Effort"))</f>
        <v>Medium Effort</v>
      </c>
      <c r="I2" t="str">
        <f>VLOOKUP(SpendTable[[#This Row],[Country]],Countries_Registry!$A$1:$D$34,2,FALSE)</f>
        <v>North America</v>
      </c>
      <c r="J2" t="str">
        <f>VLOOKUP(SpendTable[[#This Row],[Country]],Countries_Registry!$A$1:$D$34,3,FALSE)</f>
        <v>Yes</v>
      </c>
      <c r="K2" t="str">
        <f>VLOOKUP(SpendTable[[#This Row],[Country]],Countries_Registry!$A$1:$D$34,4,FALSE)</f>
        <v>Americas</v>
      </c>
    </row>
    <row r="3" spans="1:11" x14ac:dyDescent="0.25">
      <c r="A3" s="5" t="s">
        <v>23</v>
      </c>
      <c r="B3" s="3">
        <v>296</v>
      </c>
      <c r="C3" s="2">
        <v>314</v>
      </c>
      <c r="D3" s="7">
        <v>1.7</v>
      </c>
      <c r="E3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" t="str">
        <f>IF(SpendTable[[#This Row],[Spending 2024 (bn $)]]&gt;=100,"High",IF(SpendTable[[#This Row],[Spending 2024 (bn $)]]&gt;=30,"Medium","Low"))</f>
        <v>High</v>
      </c>
      <c r="G3" s="18">
        <v>6.08108108108108E-2</v>
      </c>
      <c r="H3" t="str">
        <f>IF(SpendTable[[#This Row],[% GDP 2024]]&gt;=5,"High Effort",IF(SpendTable[[#This Row],[% GDP 2024]]&gt;=2,"Medium Effort","Low Effort"))</f>
        <v>Low Effort</v>
      </c>
      <c r="I3" t="str">
        <f>VLOOKUP(SpendTable[[#This Row],[Country]],Countries_Registry!$A$1:$D$34,2,FALSE)</f>
        <v>East Asia</v>
      </c>
      <c r="J3" t="str">
        <f>VLOOKUP(SpendTable[[#This Row],[Country]],Countries_Registry!$A$1:$D$34,3,FALSE)</f>
        <v>No</v>
      </c>
      <c r="K3" t="str">
        <f>VLOOKUP(SpendTable[[#This Row],[Country]],Countries_Registry!$A$1:$D$34,4,FALSE)</f>
        <v>Asia</v>
      </c>
    </row>
    <row r="4" spans="1:11" x14ac:dyDescent="0.25">
      <c r="A4" s="5" t="s">
        <v>0</v>
      </c>
      <c r="B4" s="3">
        <v>109</v>
      </c>
      <c r="C4" s="3">
        <v>149</v>
      </c>
      <c r="D4" s="7">
        <v>7.1</v>
      </c>
      <c r="E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4" t="str">
        <f>IF(SpendTable[[#This Row],[Spending 2024 (bn $)]]&gt;=100,"High",IF(SpendTable[[#This Row],[Spending 2024 (bn $)]]&gt;=30,"Medium","Low"))</f>
        <v>High</v>
      </c>
      <c r="G4" s="18">
        <v>0.36697247706421998</v>
      </c>
      <c r="H4" t="str">
        <f>IF(SpendTable[[#This Row],[% GDP 2024]]&gt;=5,"High Effort",IF(SpendTable[[#This Row],[% GDP 2024]]&gt;=2,"Medium Effort","Low Effort"))</f>
        <v>High Effort</v>
      </c>
      <c r="I4" t="str">
        <f>VLOOKUP(SpendTable[[#This Row],[Country]],Countries_Registry!$A$1:$D$34,2,FALSE)</f>
        <v>Eastern Europe</v>
      </c>
      <c r="J4" t="str">
        <f>VLOOKUP(SpendTable[[#This Row],[Country]],Countries_Registry!$A$1:$D$34,3,FALSE)</f>
        <v>No</v>
      </c>
      <c r="K4" t="str">
        <f>VLOOKUP(SpendTable[[#This Row],[Country]],Countries_Registry!$A$1:$D$34,4,FALSE)</f>
        <v>Europe</v>
      </c>
    </row>
    <row r="5" spans="1:11" x14ac:dyDescent="0.25">
      <c r="A5" s="5" t="s">
        <v>24</v>
      </c>
      <c r="B5" s="3">
        <v>66.8</v>
      </c>
      <c r="C5" s="3">
        <v>88.5</v>
      </c>
      <c r="D5" s="7">
        <v>1.9</v>
      </c>
      <c r="E5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5" t="str">
        <f>IF(SpendTable[[#This Row],[Spending 2024 (bn $)]]&gt;=100,"High",IF(SpendTable[[#This Row],[Spending 2024 (bn $)]]&gt;=30,"Medium","Low"))</f>
        <v>Medium</v>
      </c>
      <c r="G5" s="18">
        <v>0.32485029940119797</v>
      </c>
      <c r="H5" t="str">
        <f>IF(SpendTable[[#This Row],[% GDP 2024]]&gt;=5,"High Effort",IF(SpendTable[[#This Row],[% GDP 2024]]&gt;=2,"Medium Effort","Low Effort"))</f>
        <v>Low Effort</v>
      </c>
      <c r="I5" t="str">
        <f>VLOOKUP(SpendTable[[#This Row],[Country]],Countries_Registry!$A$1:$D$34,2,FALSE)</f>
        <v>Western Europe</v>
      </c>
      <c r="J5" t="str">
        <f>VLOOKUP(SpendTable[[#This Row],[Country]],Countries_Registry!$A$1:$D$34,3,FALSE)</f>
        <v>Yes</v>
      </c>
      <c r="K5" t="str">
        <f>VLOOKUP(SpendTable[[#This Row],[Country]],Countries_Registry!$A$1:$D$34,4,FALSE)</f>
        <v>Europe</v>
      </c>
    </row>
    <row r="6" spans="1:11" x14ac:dyDescent="0.25">
      <c r="A6" s="5" t="s">
        <v>1</v>
      </c>
      <c r="B6" s="3">
        <v>83.6</v>
      </c>
      <c r="C6" s="3">
        <v>86.1</v>
      </c>
      <c r="D6" s="7">
        <v>2.2999999999999998</v>
      </c>
      <c r="E6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6" t="str">
        <f>IF(SpendTable[[#This Row],[Spending 2024 (bn $)]]&gt;=100,"High",IF(SpendTable[[#This Row],[Spending 2024 (bn $)]]&gt;=30,"Medium","Low"))</f>
        <v>Medium</v>
      </c>
      <c r="G6" s="18">
        <v>2.9904306220095701E-2</v>
      </c>
      <c r="H6" t="str">
        <f>IF(SpendTable[[#This Row],[% GDP 2024]]&gt;=5,"High Effort",IF(SpendTable[[#This Row],[% GDP 2024]]&gt;=2,"Medium Effort","Low Effort"))</f>
        <v>Medium Effort</v>
      </c>
      <c r="I6" t="str">
        <f>VLOOKUP(SpendTable[[#This Row],[Country]],Countries_Registry!$A$1:$D$34,2,FALSE)</f>
        <v>South Asia</v>
      </c>
      <c r="J6" t="str">
        <f>VLOOKUP(SpendTable[[#This Row],[Country]],Countries_Registry!$A$1:$D$34,3,FALSE)</f>
        <v>No</v>
      </c>
      <c r="K6" t="str">
        <f>VLOOKUP(SpendTable[[#This Row],[Country]],Countries_Registry!$A$1:$D$34,4,FALSE)</f>
        <v>Asia</v>
      </c>
    </row>
    <row r="7" spans="1:11" x14ac:dyDescent="0.25">
      <c r="A7" s="6" t="s">
        <v>25</v>
      </c>
      <c r="B7" s="3">
        <v>74.900000000000006</v>
      </c>
      <c r="C7" s="3">
        <v>81.8</v>
      </c>
      <c r="D7" s="7">
        <v>2.2999999999999998</v>
      </c>
      <c r="E7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7" t="str">
        <f>IF(SpendTable[[#This Row],[Spending 2024 (bn $)]]&gt;=100,"High",IF(SpendTable[[#This Row],[Spending 2024 (bn $)]]&gt;=30,"Medium","Low"))</f>
        <v>Medium</v>
      </c>
      <c r="G7" s="18">
        <v>9.2122830440587306E-2</v>
      </c>
      <c r="H7" t="str">
        <f>IF(SpendTable[[#This Row],[% GDP 2024]]&gt;=5,"High Effort",IF(SpendTable[[#This Row],[% GDP 2024]]&gt;=2,"Medium Effort","Low Effort"))</f>
        <v>Medium Effort</v>
      </c>
      <c r="I7" t="str">
        <f>VLOOKUP(SpendTable[[#This Row],[Country]],Countries_Registry!$A$1:$D$34,2,FALSE)</f>
        <v>Western Europe</v>
      </c>
      <c r="J7" t="str">
        <f>VLOOKUP(SpendTable[[#This Row],[Country]],Countries_Registry!$A$1:$D$34,3,FALSE)</f>
        <v>Yes</v>
      </c>
      <c r="K7" t="str">
        <f>VLOOKUP(SpendTable[[#This Row],[Country]],Countries_Registry!$A$1:$D$34,4,FALSE)</f>
        <v>Europe</v>
      </c>
    </row>
    <row r="8" spans="1:11" x14ac:dyDescent="0.25">
      <c r="A8" s="5" t="s">
        <v>26</v>
      </c>
      <c r="B8" s="3">
        <v>75.8</v>
      </c>
      <c r="C8" s="3">
        <v>80.3</v>
      </c>
      <c r="D8" s="7">
        <v>7.3</v>
      </c>
      <c r="E8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8" t="str">
        <f>IF(SpendTable[[#This Row],[Spending 2024 (bn $)]]&gt;=100,"High",IF(SpendTable[[#This Row],[Spending 2024 (bn $)]]&gt;=30,"Medium","Low"))</f>
        <v>Medium</v>
      </c>
      <c r="G8" s="18">
        <v>5.9366754617414301E-2</v>
      </c>
      <c r="H8" t="str">
        <f>IF(SpendTable[[#This Row],[% GDP 2024]]&gt;=5,"High Effort",IF(SpendTable[[#This Row],[% GDP 2024]]&gt;=2,"Medium Effort","Low Effort"))</f>
        <v>High Effort</v>
      </c>
      <c r="I8" t="str">
        <f>VLOOKUP(SpendTable[[#This Row],[Country]],Countries_Registry!$A$1:$D$34,2,FALSE)</f>
        <v>Middle East</v>
      </c>
      <c r="J8" t="str">
        <f>VLOOKUP(SpendTable[[#This Row],[Country]],Countries_Registry!$A$1:$D$34,3,FALSE)</f>
        <v>No</v>
      </c>
      <c r="K8" t="str">
        <f>VLOOKUP(SpendTable[[#This Row],[Country]],Countries_Registry!$A$1:$D$34,4,FALSE)</f>
        <v>Asia</v>
      </c>
    </row>
    <row r="9" spans="1:11" x14ac:dyDescent="0.25">
      <c r="A9" s="5" t="s">
        <v>27</v>
      </c>
      <c r="B9" s="3">
        <v>64.8</v>
      </c>
      <c r="C9" s="3">
        <v>64.7</v>
      </c>
      <c r="D9" s="7">
        <v>34.5</v>
      </c>
      <c r="E9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9" t="str">
        <f>IF(SpendTable[[#This Row],[Spending 2024 (bn $)]]&gt;=100,"High",IF(SpendTable[[#This Row],[Spending 2024 (bn $)]]&gt;=30,"Medium","Low"))</f>
        <v>Medium</v>
      </c>
      <c r="G9" s="18">
        <v>-1.54320987654312E-3</v>
      </c>
      <c r="H9" t="str">
        <f>IF(SpendTable[[#This Row],[% GDP 2024]]&gt;=5,"High Effort",IF(SpendTable[[#This Row],[% GDP 2024]]&gt;=2,"Medium Effort","Low Effort"))</f>
        <v>High Effort</v>
      </c>
      <c r="I9" t="str">
        <f>VLOOKUP(SpendTable[[#This Row],[Country]],Countries_Registry!$A$1:$D$34,2,FALSE)</f>
        <v>Eastern Europe</v>
      </c>
      <c r="J9" t="str">
        <f>VLOOKUP(SpendTable[[#This Row],[Country]],Countries_Registry!$A$1:$D$34,3,FALSE)</f>
        <v>No</v>
      </c>
      <c r="K9" t="str">
        <f>VLOOKUP(SpendTable[[#This Row],[Country]],Countries_Registry!$A$1:$D$34,4,FALSE)</f>
        <v>Europe</v>
      </c>
    </row>
    <row r="10" spans="1:11" x14ac:dyDescent="0.25">
      <c r="A10" s="5" t="s">
        <v>28</v>
      </c>
      <c r="B10" s="3">
        <v>61.3</v>
      </c>
      <c r="C10" s="3">
        <v>64.7</v>
      </c>
      <c r="D10" s="7">
        <v>2.1</v>
      </c>
      <c r="E10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0" t="str">
        <f>IF(SpendTable[[#This Row],[Spending 2024 (bn $)]]&gt;=100,"High",IF(SpendTable[[#This Row],[Spending 2024 (bn $)]]&gt;=30,"Medium","Low"))</f>
        <v>Medium</v>
      </c>
      <c r="G10" s="18">
        <v>5.5464926590538401E-2</v>
      </c>
      <c r="H10" t="str">
        <f>IF(SpendTable[[#This Row],[% GDP 2024]]&gt;=5,"High Effort",IF(SpendTable[[#This Row],[% GDP 2024]]&gt;=2,"Medium Effort","Low Effort"))</f>
        <v>Medium Effort</v>
      </c>
      <c r="I10" t="str">
        <f>VLOOKUP(SpendTable[[#This Row],[Country]],Countries_Registry!$A$1:$D$34,2,FALSE)</f>
        <v>Western Europe</v>
      </c>
      <c r="J10" t="str">
        <f>VLOOKUP(SpendTable[[#This Row],[Country]],Countries_Registry!$A$1:$D$34,3,FALSE)</f>
        <v>Yes</v>
      </c>
      <c r="K10" t="str">
        <f>VLOOKUP(SpendTable[[#This Row],[Country]],Countries_Registry!$A$1:$D$34,4,FALSE)</f>
        <v>Europe</v>
      </c>
    </row>
    <row r="11" spans="1:11" x14ac:dyDescent="0.25">
      <c r="A11" s="5" t="s">
        <v>29</v>
      </c>
      <c r="B11" s="3">
        <v>50.2</v>
      </c>
      <c r="C11" s="3">
        <v>55.3</v>
      </c>
      <c r="D11" s="7">
        <v>1.4</v>
      </c>
      <c r="E11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1" t="str">
        <f>IF(SpendTable[[#This Row],[Spending 2024 (bn $)]]&gt;=100,"High",IF(SpendTable[[#This Row],[Spending 2024 (bn $)]]&gt;=30,"Medium","Low"))</f>
        <v>Medium</v>
      </c>
      <c r="G11" s="18">
        <v>0.101593625498008</v>
      </c>
      <c r="H11" t="str">
        <f>IF(SpendTable[[#This Row],[% GDP 2024]]&gt;=5,"High Effort",IF(SpendTable[[#This Row],[% GDP 2024]]&gt;=2,"Medium Effort","Low Effort"))</f>
        <v>Low Effort</v>
      </c>
      <c r="I11" t="str">
        <f>VLOOKUP(SpendTable[[#This Row],[Country]],Countries_Registry!$A$1:$D$34,2,FALSE)</f>
        <v>East Asia</v>
      </c>
      <c r="J11" t="str">
        <f>VLOOKUP(SpendTable[[#This Row],[Country]],Countries_Registry!$A$1:$D$34,3,FALSE)</f>
        <v>No</v>
      </c>
      <c r="K11" t="str">
        <f>VLOOKUP(SpendTable[[#This Row],[Country]],Countries_Registry!$A$1:$D$34,4,FALSE)</f>
        <v>Asia</v>
      </c>
    </row>
    <row r="12" spans="1:11" x14ac:dyDescent="0.25">
      <c r="A12" s="5" t="s">
        <v>30</v>
      </c>
      <c r="B12" s="3">
        <v>47.9</v>
      </c>
      <c r="C12" s="3">
        <v>47.6</v>
      </c>
      <c r="D12" s="7">
        <v>2.6</v>
      </c>
      <c r="E12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12" t="str">
        <f>IF(SpendTable[[#This Row],[Spending 2024 (bn $)]]&gt;=100,"High",IF(SpendTable[[#This Row],[Spending 2024 (bn $)]]&gt;=30,"Medium","Low"))</f>
        <v>Medium</v>
      </c>
      <c r="G12" s="18">
        <v>-6.2630480167014E-3</v>
      </c>
      <c r="H12" t="str">
        <f>IF(SpendTable[[#This Row],[% GDP 2024]]&gt;=5,"High Effort",IF(SpendTable[[#This Row],[% GDP 2024]]&gt;=2,"Medium Effort","Low Effort"))</f>
        <v>Medium Effort</v>
      </c>
      <c r="I12" t="str">
        <f>VLOOKUP(SpendTable[[#This Row],[Country]],Countries_Registry!$A$1:$D$34,2,FALSE)</f>
        <v>East Asia</v>
      </c>
      <c r="J12" t="str">
        <f>VLOOKUP(SpendTable[[#This Row],[Country]],Countries_Registry!$A$1:$D$34,3,FALSE)</f>
        <v>No</v>
      </c>
      <c r="K12" t="str">
        <f>VLOOKUP(SpendTable[[#This Row],[Country]],Countries_Registry!$A$1:$D$34,4,FALSE)</f>
        <v>Asia</v>
      </c>
    </row>
    <row r="13" spans="1:11" x14ac:dyDescent="0.25">
      <c r="A13" s="5" t="s">
        <v>31</v>
      </c>
      <c r="B13" s="3">
        <v>27.5</v>
      </c>
      <c r="C13" s="3">
        <v>46.5</v>
      </c>
      <c r="D13" s="7">
        <v>8.8000000000000007</v>
      </c>
      <c r="E13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3" t="str">
        <f>IF(SpendTable[[#This Row],[Spending 2024 (bn $)]]&gt;=100,"High",IF(SpendTable[[#This Row],[Spending 2024 (bn $)]]&gt;=30,"Medium","Low"))</f>
        <v>Medium</v>
      </c>
      <c r="G13" s="18">
        <v>0.69090909090909103</v>
      </c>
      <c r="H13" t="str">
        <f>IF(SpendTable[[#This Row],[% GDP 2024]]&gt;=5,"High Effort",IF(SpendTable[[#This Row],[% GDP 2024]]&gt;=2,"Medium Effort","Low Effort"))</f>
        <v>High Effort</v>
      </c>
      <c r="I13" t="str">
        <f>VLOOKUP(SpendTable[[#This Row],[Country]],Countries_Registry!$A$1:$D$34,2,FALSE)</f>
        <v>Middle East</v>
      </c>
      <c r="J13" t="str">
        <f>VLOOKUP(SpendTable[[#This Row],[Country]],Countries_Registry!$A$1:$D$34,3,FALSE)</f>
        <v>No</v>
      </c>
      <c r="K13" t="str">
        <f>VLOOKUP(SpendTable[[#This Row],[Country]],Countries_Registry!$A$1:$D$34,4,FALSE)</f>
        <v>Asia</v>
      </c>
    </row>
    <row r="14" spans="1:11" x14ac:dyDescent="0.25">
      <c r="A14" s="5" t="s">
        <v>32</v>
      </c>
      <c r="B14" s="3">
        <v>31.6</v>
      </c>
      <c r="C14" s="3">
        <v>38</v>
      </c>
      <c r="D14" s="7">
        <v>4.2</v>
      </c>
      <c r="E1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4" t="str">
        <f>IF(SpendTable[[#This Row],[Spending 2024 (bn $)]]&gt;=100,"High",IF(SpendTable[[#This Row],[Spending 2024 (bn $)]]&gt;=30,"Medium","Low"))</f>
        <v>Medium</v>
      </c>
      <c r="G14" s="18">
        <v>0.20253164556962</v>
      </c>
      <c r="H14" t="str">
        <f>IF(SpendTable[[#This Row],[% GDP 2024]]&gt;=5,"High Effort",IF(SpendTable[[#This Row],[% GDP 2024]]&gt;=2,"Medium Effort","Low Effort"))</f>
        <v>Medium Effort</v>
      </c>
      <c r="I14" t="str">
        <f>VLOOKUP(SpendTable[[#This Row],[Country]],Countries_Registry!$A$1:$D$34,2,FALSE)</f>
        <v>Eastern Europe</v>
      </c>
      <c r="J14" t="str">
        <f>VLOOKUP(SpendTable[[#This Row],[Country]],Countries_Registry!$A$1:$D$34,3,FALSE)</f>
        <v>Yes</v>
      </c>
      <c r="K14" t="str">
        <f>VLOOKUP(SpendTable[[#This Row],[Country]],Countries_Registry!$A$1:$D$34,4,FALSE)</f>
        <v>Europe</v>
      </c>
    </row>
    <row r="15" spans="1:11" x14ac:dyDescent="0.25">
      <c r="A15" s="5" t="s">
        <v>33</v>
      </c>
      <c r="B15" s="3">
        <v>35.5</v>
      </c>
      <c r="C15" s="3">
        <v>38</v>
      </c>
      <c r="D15" s="7">
        <v>1.6</v>
      </c>
      <c r="E15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5" t="str">
        <f>IF(SpendTable[[#This Row],[Spending 2024 (bn $)]]&gt;=100,"High",IF(SpendTable[[#This Row],[Spending 2024 (bn $)]]&gt;=30,"Medium","Low"))</f>
        <v>Medium</v>
      </c>
      <c r="G15" s="18">
        <v>7.0422535211267595E-2</v>
      </c>
      <c r="H15" t="str">
        <f>IF(SpendTable[[#This Row],[% GDP 2024]]&gt;=5,"High Effort",IF(SpendTable[[#This Row],[% GDP 2024]]&gt;=2,"Medium Effort","Low Effort"))</f>
        <v>Low Effort</v>
      </c>
      <c r="I15" t="str">
        <f>VLOOKUP(SpendTable[[#This Row],[Country]],Countries_Registry!$A$1:$D$34,2,FALSE)</f>
        <v>Western Europe</v>
      </c>
      <c r="J15" t="str">
        <f>VLOOKUP(SpendTable[[#This Row],[Country]],Countries_Registry!$A$1:$D$34,3,FALSE)</f>
        <v>Yes</v>
      </c>
      <c r="K15" t="str">
        <f>VLOOKUP(SpendTable[[#This Row],[Country]],Countries_Registry!$A$1:$D$34,4,FALSE)</f>
        <v>Europe</v>
      </c>
    </row>
    <row r="16" spans="1:11" x14ac:dyDescent="0.25">
      <c r="A16" s="5" t="s">
        <v>2</v>
      </c>
      <c r="B16" s="3">
        <v>32.299999999999997</v>
      </c>
      <c r="C16" s="3">
        <v>33.799999999999997</v>
      </c>
      <c r="D16" s="7">
        <v>1.9</v>
      </c>
      <c r="E16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6" t="str">
        <f>IF(SpendTable[[#This Row],[Spending 2024 (bn $)]]&gt;=100,"High",IF(SpendTable[[#This Row],[Spending 2024 (bn $)]]&gt;=30,"Medium","Low"))</f>
        <v>Medium</v>
      </c>
      <c r="G16" s="18">
        <v>4.6439628482972103E-2</v>
      </c>
      <c r="H16" t="str">
        <f>IF(SpendTable[[#This Row],[% GDP 2024]]&gt;=5,"High Effort",IF(SpendTable[[#This Row],[% GDP 2024]]&gt;=2,"Medium Effort","Low Effort"))</f>
        <v>Low Effort</v>
      </c>
      <c r="I16" t="str">
        <f>VLOOKUP(SpendTable[[#This Row],[Country]],Countries_Registry!$A$1:$D$34,2,FALSE)</f>
        <v>Oceania</v>
      </c>
      <c r="J16" t="str">
        <f>VLOOKUP(SpendTable[[#This Row],[Country]],Countries_Registry!$A$1:$D$34,3,FALSE)</f>
        <v>No</v>
      </c>
      <c r="K16" t="str">
        <f>VLOOKUP(SpendTable[[#This Row],[Country]],Countries_Registry!$A$1:$D$34,4,FALSE)</f>
        <v>Oceania</v>
      </c>
    </row>
    <row r="17" spans="1:11" x14ac:dyDescent="0.25">
      <c r="A17" s="5" t="s">
        <v>3</v>
      </c>
      <c r="B17" s="3">
        <v>27.2</v>
      </c>
      <c r="C17" s="3">
        <v>29.3</v>
      </c>
      <c r="D17" s="7">
        <v>1.3</v>
      </c>
      <c r="E17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7" t="str">
        <f>IF(SpendTable[[#This Row],[Spending 2024 (bn $)]]&gt;=100,"High",IF(SpendTable[[#This Row],[Spending 2024 (bn $)]]&gt;=30,"Medium","Low"))</f>
        <v>Low</v>
      </c>
      <c r="G17" s="18">
        <v>7.7205882352941194E-2</v>
      </c>
      <c r="H17" t="str">
        <f>IF(SpendTable[[#This Row],[% GDP 2024]]&gt;=5,"High Effort",IF(SpendTable[[#This Row],[% GDP 2024]]&gt;=2,"Medium Effort","Low Effort"))</f>
        <v>Low Effort</v>
      </c>
      <c r="I17" t="str">
        <f>VLOOKUP(SpendTable[[#This Row],[Country]],Countries_Registry!$A$1:$D$34,2,FALSE)</f>
        <v>North America</v>
      </c>
      <c r="J17" t="str">
        <f>VLOOKUP(SpendTable[[#This Row],[Country]],Countries_Registry!$A$1:$D$34,3,FALSE)</f>
        <v>Yes</v>
      </c>
      <c r="K17" t="str">
        <f>VLOOKUP(SpendTable[[#This Row],[Country]],Countries_Registry!$A$1:$D$34,4,FALSE)</f>
        <v>Americas</v>
      </c>
    </row>
    <row r="18" spans="1:11" x14ac:dyDescent="0.25">
      <c r="A18" s="5" t="s">
        <v>34</v>
      </c>
      <c r="B18" s="3">
        <v>15.8</v>
      </c>
      <c r="C18" s="3">
        <v>25</v>
      </c>
      <c r="D18" s="8">
        <v>1.9</v>
      </c>
      <c r="E18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8" t="str">
        <f>IF(SpendTable[[#This Row],[Spending 2024 (bn $)]]&gt;=100,"High",IF(SpendTable[[#This Row],[Spending 2024 (bn $)]]&gt;=30,"Medium","Low"))</f>
        <v>Low</v>
      </c>
      <c r="G18" s="18">
        <v>0.582278481012658</v>
      </c>
      <c r="H18" t="str">
        <f>IF(SpendTable[[#This Row],[% GDP 2024]]&gt;=5,"High Effort",IF(SpendTable[[#This Row],[% GDP 2024]]&gt;=2,"Medium Effort","Low Effort"))</f>
        <v>Low Effort</v>
      </c>
      <c r="I18" t="str">
        <f>VLOOKUP(SpendTable[[#This Row],[Country]],Countries_Registry!$A$1:$D$34,2,FALSE)</f>
        <v>Middle East</v>
      </c>
      <c r="J18" t="str">
        <f>VLOOKUP(SpendTable[[#This Row],[Country]],Countries_Registry!$A$1:$D$34,3,FALSE)</f>
        <v>Yes</v>
      </c>
      <c r="K18" t="str">
        <f>VLOOKUP(SpendTable[[#This Row],[Country]],Countries_Registry!$A$1:$D$34,4,FALSE)</f>
        <v>Asia</v>
      </c>
    </row>
    <row r="19" spans="1:11" x14ac:dyDescent="0.25">
      <c r="A19" s="5" t="s">
        <v>35</v>
      </c>
      <c r="B19" s="3">
        <v>23.7</v>
      </c>
      <c r="C19" s="3">
        <v>24.5</v>
      </c>
      <c r="D19" s="7">
        <v>1.5</v>
      </c>
      <c r="E19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19" t="str">
        <f>IF(SpendTable[[#This Row],[Spending 2024 (bn $)]]&gt;=100,"High",IF(SpendTable[[#This Row],[Spending 2024 (bn $)]]&gt;=30,"Medium","Low"))</f>
        <v>Low</v>
      </c>
      <c r="G19" s="18">
        <v>3.37552742616034E-2</v>
      </c>
      <c r="H19" t="str">
        <f>IF(SpendTable[[#This Row],[% GDP 2024]]&gt;=5,"High Effort",IF(SpendTable[[#This Row],[% GDP 2024]]&gt;=2,"Medium Effort","Low Effort"))</f>
        <v>Low Effort</v>
      </c>
      <c r="I19" t="str">
        <f>VLOOKUP(SpendTable[[#This Row],[Country]],Countries_Registry!$A$1:$D$34,2,FALSE)</f>
        <v>Western Europe</v>
      </c>
      <c r="J19" t="str">
        <f>VLOOKUP(SpendTable[[#This Row],[Country]],Countries_Registry!$A$1:$D$34,3,FALSE)</f>
        <v>Yes</v>
      </c>
      <c r="K19" t="str">
        <f>VLOOKUP(SpendTable[[#This Row],[Country]],Countries_Registry!$A$1:$D$34,4,FALSE)</f>
        <v>Europe</v>
      </c>
    </row>
    <row r="20" spans="1:11" x14ac:dyDescent="0.25">
      <c r="A20" s="5" t="s">
        <v>36</v>
      </c>
      <c r="B20" s="3">
        <v>22.9</v>
      </c>
      <c r="C20" s="3">
        <v>23.4</v>
      </c>
      <c r="D20" s="7">
        <v>1.1000000000000001</v>
      </c>
      <c r="E20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0" t="str">
        <f>IF(SpendTable[[#This Row],[Spending 2024 (bn $)]]&gt;=100,"High",IF(SpendTable[[#This Row],[Spending 2024 (bn $)]]&gt;=30,"Medium","Low"))</f>
        <v>Low</v>
      </c>
      <c r="G20" s="18">
        <v>2.1834061135371199E-2</v>
      </c>
      <c r="H20" t="str">
        <f>IF(SpendTable[[#This Row],[% GDP 2024]]&gt;=5,"High Effort",IF(SpendTable[[#This Row],[% GDP 2024]]&gt;=2,"Medium Effort","Low Effort"))</f>
        <v>Low Effort</v>
      </c>
      <c r="I20" t="str">
        <f>VLOOKUP(SpendTable[[#This Row],[Country]],Countries_Registry!$A$1:$D$34,2,FALSE)</f>
        <v>Latin America</v>
      </c>
      <c r="J20" t="str">
        <f>VLOOKUP(SpendTable[[#This Row],[Country]],Countries_Registry!$A$1:$D$34,3,FALSE)</f>
        <v>No</v>
      </c>
      <c r="K20" t="str">
        <f>VLOOKUP(SpendTable[[#This Row],[Country]],Countries_Registry!$A$1:$D$34,4,FALSE)</f>
        <v>Americas</v>
      </c>
    </row>
    <row r="21" spans="1:11" x14ac:dyDescent="0.25">
      <c r="A21" s="5" t="s">
        <v>5</v>
      </c>
      <c r="B21" s="4" t="s">
        <v>6</v>
      </c>
      <c r="C21" s="3">
        <v>21.8</v>
      </c>
      <c r="D21" s="7">
        <v>8</v>
      </c>
      <c r="E21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21" t="str">
        <f>IF(SpendTable[[#This Row],[Spending 2024 (bn $)]]&gt;=100,"High",IF(SpendTable[[#This Row],[Spending 2024 (bn $)]]&gt;=30,"Medium","Low"))</f>
        <v>Low</v>
      </c>
      <c r="H21" t="str">
        <f>IF(SpendTable[[#This Row],[% GDP 2024]]&gt;=5,"High Effort",IF(SpendTable[[#This Row],[% GDP 2024]]&gt;=2,"Medium Effort","Low Effort"))</f>
        <v>High Effort</v>
      </c>
      <c r="I21" t="str">
        <f>VLOOKUP(SpendTable[[#This Row],[Country]],Countries_Registry!$A$1:$D$34,2,FALSE)</f>
        <v>North Africa</v>
      </c>
      <c r="J21" t="str">
        <f>VLOOKUP(SpendTable[[#This Row],[Country]],Countries_Registry!$A$1:$D$34,3,FALSE)</f>
        <v>No</v>
      </c>
      <c r="K21" t="str">
        <f>VLOOKUP(SpendTable[[#This Row],[Country]],Countries_Registry!$A$1:$D$34,4,FALSE)</f>
        <v>Africa</v>
      </c>
    </row>
    <row r="22" spans="1:11" x14ac:dyDescent="0.25">
      <c r="A22" s="5" t="s">
        <v>37</v>
      </c>
      <c r="B22" s="3">
        <v>16.600000000000001</v>
      </c>
      <c r="C22" s="3">
        <v>21.5</v>
      </c>
      <c r="D22" s="7">
        <v>1.9</v>
      </c>
      <c r="E22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2" t="str">
        <f>IF(SpendTable[[#This Row],[Spending 2024 (bn $)]]&gt;=100,"High",IF(SpendTable[[#This Row],[Spending 2024 (bn $)]]&gt;=30,"Medium","Low"))</f>
        <v>Low</v>
      </c>
      <c r="G22" s="18">
        <v>0.29518072289156599</v>
      </c>
      <c r="H22" t="str">
        <f>IF(SpendTable[[#This Row],[% GDP 2024]]&gt;=5,"High Effort",IF(SpendTable[[#This Row],[% GDP 2024]]&gt;=2,"Medium Effort","Low Effort"))</f>
        <v>Low Effort</v>
      </c>
      <c r="I22" t="str">
        <f>VLOOKUP(SpendTable[[#This Row],[Country]],Countries_Registry!$A$1:$D$34,2,FALSE)</f>
        <v>Western Europe</v>
      </c>
      <c r="J22" t="str">
        <f>VLOOKUP(SpendTable[[#This Row],[Country]],Countries_Registry!$A$1:$D$34,3,FALSE)</f>
        <v>Yes</v>
      </c>
      <c r="K22" t="str">
        <f>VLOOKUP(SpendTable[[#This Row],[Country]],Countries_Registry!$A$1:$D$34,4,FALSE)</f>
        <v>Europe</v>
      </c>
    </row>
    <row r="23" spans="1:11" x14ac:dyDescent="0.25">
      <c r="A23" s="5" t="s">
        <v>7</v>
      </c>
      <c r="B23" s="3">
        <v>16.600000000000001</v>
      </c>
      <c r="C23" s="3">
        <v>16.5</v>
      </c>
      <c r="D23" s="9" t="s">
        <v>6</v>
      </c>
      <c r="E23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23" t="str">
        <f>IF(SpendTable[[#This Row],[Spending 2024 (bn $)]]&gt;=100,"High",IF(SpendTable[[#This Row],[Spending 2024 (bn $)]]&gt;=30,"Medium","Low"))</f>
        <v>Low</v>
      </c>
      <c r="G23" s="18">
        <v>-6.0240963855422497E-3</v>
      </c>
      <c r="H23" t="str">
        <f>IF(SpendTable[[#This Row],[% GDP 2024]]&gt;=5,"High Effort",IF(SpendTable[[#This Row],[% GDP 2024]]&gt;=2,"Medium Effort","Low Effort"))</f>
        <v>High Effort</v>
      </c>
      <c r="I23" t="str">
        <f>VLOOKUP(SpendTable[[#This Row],[Country]],Countries_Registry!$A$1:$D$34,2,FALSE)</f>
        <v>East Asia</v>
      </c>
      <c r="J23" t="str">
        <f>VLOOKUP(SpendTable[[#This Row],[Country]],Countries_Registry!$A$1:$D$34,3,FALSE)</f>
        <v>No</v>
      </c>
      <c r="K23" t="str">
        <f>VLOOKUP(SpendTable[[#This Row],[Country]],Countries_Registry!$A$1:$D$34,4,FALSE)</f>
        <v>Asia</v>
      </c>
    </row>
    <row r="24" spans="1:11" x14ac:dyDescent="0.25">
      <c r="A24" s="5" t="s">
        <v>8</v>
      </c>
      <c r="B24" s="3">
        <v>13.7</v>
      </c>
      <c r="C24" s="3">
        <v>14.2</v>
      </c>
      <c r="D24" s="7">
        <v>2.8</v>
      </c>
      <c r="E2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4" t="str">
        <f>IF(SpendTable[[#This Row],[Spending 2024 (bn $)]]&gt;=100,"High",IF(SpendTable[[#This Row],[Spending 2024 (bn $)]]&gt;=30,"Medium","Low"))</f>
        <v>Low</v>
      </c>
      <c r="G24" s="18">
        <v>3.6496350364963501E-2</v>
      </c>
      <c r="H24" t="str">
        <f>IF(SpendTable[[#This Row],[% GDP 2024]]&gt;=5,"High Effort",IF(SpendTable[[#This Row],[% GDP 2024]]&gt;=2,"Medium Effort","Low Effort"))</f>
        <v>Medium Effort</v>
      </c>
      <c r="I24" t="str">
        <f>VLOOKUP(SpendTable[[#This Row],[Country]],Countries_Registry!$A$1:$D$34,2,FALSE)</f>
        <v>Southeast Asia</v>
      </c>
      <c r="J24" t="str">
        <f>VLOOKUP(SpendTable[[#This Row],[Country]],Countries_Registry!$A$1:$D$34,3,FALSE)</f>
        <v>No</v>
      </c>
      <c r="K24" t="str">
        <f>VLOOKUP(SpendTable[[#This Row],[Country]],Countries_Registry!$A$1:$D$34,4,FALSE)</f>
        <v>Asia</v>
      </c>
    </row>
    <row r="25" spans="1:11" x14ac:dyDescent="0.25">
      <c r="A25" s="5" t="s">
        <v>38</v>
      </c>
      <c r="B25" s="3">
        <v>11.8</v>
      </c>
      <c r="C25" s="3">
        <v>12.5</v>
      </c>
      <c r="D25" s="7">
        <v>0.6</v>
      </c>
      <c r="E25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5" t="str">
        <f>IF(SpendTable[[#This Row],[Spending 2024 (bn $)]]&gt;=100,"High",IF(SpendTable[[#This Row],[Spending 2024 (bn $)]]&gt;=30,"Medium","Low"))</f>
        <v>Low</v>
      </c>
      <c r="G25" s="18">
        <v>5.9322033898305003E-2</v>
      </c>
      <c r="H25" t="str">
        <f>IF(SpendTable[[#This Row],[% GDP 2024]]&gt;=5,"High Effort",IF(SpendTable[[#This Row],[% GDP 2024]]&gt;=2,"Medium Effort","Low Effort"))</f>
        <v>Low Effort</v>
      </c>
      <c r="I25" t="str">
        <f>VLOOKUP(SpendTable[[#This Row],[Country]],Countries_Registry!$A$1:$D$34,2,FALSE)</f>
        <v>Latin America</v>
      </c>
      <c r="J25" t="str">
        <f>VLOOKUP(SpendTable[[#This Row],[Country]],Countries_Registry!$A$1:$D$34,3,FALSE)</f>
        <v>No</v>
      </c>
      <c r="K25" t="str">
        <f>VLOOKUP(SpendTable[[#This Row],[Country]],Countries_Registry!$A$1:$D$34,4,FALSE)</f>
        <v>Americas</v>
      </c>
    </row>
    <row r="26" spans="1:11" x14ac:dyDescent="0.25">
      <c r="A26" s="5" t="s">
        <v>39</v>
      </c>
      <c r="B26" s="3">
        <v>8.8000000000000007</v>
      </c>
      <c r="C26" s="3">
        <v>12</v>
      </c>
      <c r="D26" s="7">
        <v>2</v>
      </c>
      <c r="E26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6" t="str">
        <f>IF(SpendTable[[#This Row],[Spending 2024 (bn $)]]&gt;=100,"High",IF(SpendTable[[#This Row],[Spending 2024 (bn $)]]&gt;=30,"Medium","Low"))</f>
        <v>Low</v>
      </c>
      <c r="G26" s="18">
        <v>0.36363636363636398</v>
      </c>
      <c r="H26" t="str">
        <f>IF(SpendTable[[#This Row],[% GDP 2024]]&gt;=5,"High Effort",IF(SpendTable[[#This Row],[% GDP 2024]]&gt;=2,"Medium Effort","Low Effort"))</f>
        <v>Medium Effort</v>
      </c>
      <c r="I26" t="str">
        <f>VLOOKUP(SpendTable[[#This Row],[Country]],Countries_Registry!$A$1:$D$34,2,FALSE)</f>
        <v>Western Europe</v>
      </c>
      <c r="J26" t="str">
        <f>VLOOKUP(SpendTable[[#This Row],[Country]],Countries_Registry!$A$1:$D$34,3,FALSE)</f>
        <v>Yes</v>
      </c>
      <c r="K26" t="str">
        <f>VLOOKUP(SpendTable[[#This Row],[Country]],Countries_Registry!$A$1:$D$34,4,FALSE)</f>
        <v>Europe</v>
      </c>
    </row>
    <row r="27" spans="1:11" x14ac:dyDescent="0.25">
      <c r="A27" s="5" t="s">
        <v>40</v>
      </c>
      <c r="B27" s="3">
        <v>8.6999999999999993</v>
      </c>
      <c r="C27" s="3">
        <v>10.9</v>
      </c>
      <c r="D27" s="7">
        <v>2.2000000000000002</v>
      </c>
      <c r="E27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7" t="str">
        <f>IF(SpendTable[[#This Row],[Spending 2024 (bn $)]]&gt;=100,"High",IF(SpendTable[[#This Row],[Spending 2024 (bn $)]]&gt;=30,"Medium","Low"))</f>
        <v>Low</v>
      </c>
      <c r="G27" s="18">
        <v>0.252873563218391</v>
      </c>
      <c r="H27" t="str">
        <f>IF(SpendTable[[#This Row],[% GDP 2024]]&gt;=5,"High Effort",IF(SpendTable[[#This Row],[% GDP 2024]]&gt;=2,"Medium Effort","Low Effort"))</f>
        <v>Medium Effort</v>
      </c>
      <c r="I27" t="str">
        <f>VLOOKUP(SpendTable[[#This Row],[Country]],Countries_Registry!$A$1:$D$34,2,FALSE)</f>
        <v>Western Europe</v>
      </c>
      <c r="J27" t="str">
        <f>VLOOKUP(SpendTable[[#This Row],[Country]],Countries_Registry!$A$1:$D$34,3,FALSE)</f>
        <v>Yes</v>
      </c>
      <c r="K27" t="str">
        <f>VLOOKUP(SpendTable[[#This Row],[Country]],Countries_Registry!$A$1:$D$34,4,FALSE)</f>
        <v>Europe</v>
      </c>
    </row>
    <row r="28" spans="1:11" x14ac:dyDescent="0.25">
      <c r="A28" s="5" t="s">
        <v>10</v>
      </c>
      <c r="B28" s="3">
        <v>9.5</v>
      </c>
      <c r="C28" s="3">
        <v>10.6</v>
      </c>
      <c r="D28" s="7">
        <v>0.8</v>
      </c>
      <c r="E28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8" t="str">
        <f>IF(SpendTable[[#This Row],[Spending 2024 (bn $)]]&gt;=100,"High",IF(SpendTable[[#This Row],[Spending 2024 (bn $)]]&gt;=30,"Medium","Low"))</f>
        <v>Low</v>
      </c>
      <c r="G28" s="18">
        <v>0.11578947368421</v>
      </c>
      <c r="H28" t="str">
        <f>IF(SpendTable[[#This Row],[% GDP 2024]]&gt;=5,"High Effort",IF(SpendTable[[#This Row],[% GDP 2024]]&gt;=2,"Medium Effort","Low Effort"))</f>
        <v>Low Effort</v>
      </c>
      <c r="I28" t="str">
        <f>VLOOKUP(SpendTable[[#This Row],[Country]],Countries_Registry!$A$1:$D$34,2,FALSE)</f>
        <v>Southeast Asia</v>
      </c>
      <c r="J28" t="str">
        <f>VLOOKUP(SpendTable[[#This Row],[Country]],Countries_Registry!$A$1:$D$34,3,FALSE)</f>
        <v>No</v>
      </c>
      <c r="K28" t="str">
        <f>VLOOKUP(SpendTable[[#This Row],[Country]],Countries_Registry!$A$1:$D$34,4,FALSE)</f>
        <v>Asia</v>
      </c>
    </row>
    <row r="29" spans="1:11" x14ac:dyDescent="0.25">
      <c r="A29" s="5" t="s">
        <v>9</v>
      </c>
      <c r="B29" s="3">
        <v>8.5</v>
      </c>
      <c r="C29" s="3">
        <v>10.199999999999999</v>
      </c>
      <c r="D29" s="7">
        <v>2.7</v>
      </c>
      <c r="E29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29" t="str">
        <f>IF(SpendTable[[#This Row],[Spending 2024 (bn $)]]&gt;=100,"High",IF(SpendTable[[#This Row],[Spending 2024 (bn $)]]&gt;=30,"Medium","Low"))</f>
        <v>Low</v>
      </c>
      <c r="G29" s="18">
        <v>0.2</v>
      </c>
      <c r="H29" t="str">
        <f>IF(SpendTable[[#This Row],[% GDP 2024]]&gt;=5,"High Effort",IF(SpendTable[[#This Row],[% GDP 2024]]&gt;=2,"Medium Effort","Low Effort"))</f>
        <v>Medium Effort</v>
      </c>
      <c r="I29" t="str">
        <f>VLOOKUP(SpendTable[[#This Row],[Country]],Countries_Registry!$A$1:$D$34,2,FALSE)</f>
        <v>South Asia</v>
      </c>
      <c r="J29" t="str">
        <f>VLOOKUP(SpendTable[[#This Row],[Country]],Countries_Registry!$A$1:$D$34,3,FALSE)</f>
        <v>No</v>
      </c>
      <c r="K29" t="str">
        <f>VLOOKUP(SpendTable[[#This Row],[Country]],Countries_Registry!$A$1:$D$34,4,FALSE)</f>
        <v>Asia</v>
      </c>
    </row>
    <row r="30" spans="1:11" x14ac:dyDescent="0.25">
      <c r="A30" s="5" t="s">
        <v>41</v>
      </c>
      <c r="B30" s="3">
        <v>8.1</v>
      </c>
      <c r="C30" s="3">
        <v>10</v>
      </c>
      <c r="D30" s="7">
        <v>2.4</v>
      </c>
      <c r="E30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0" t="str">
        <f>IF(SpendTable[[#This Row],[Spending 2024 (bn $)]]&gt;=100,"High",IF(SpendTable[[#This Row],[Spending 2024 (bn $)]]&gt;=30,"Medium","Low"))</f>
        <v>Low</v>
      </c>
      <c r="G30" s="18">
        <v>0.234567901234568</v>
      </c>
      <c r="H30" t="str">
        <f>IF(SpendTable[[#This Row],[% GDP 2024]]&gt;=5,"High Effort",IF(SpendTable[[#This Row],[% GDP 2024]]&gt;=2,"Medium Effort","Low Effort"))</f>
        <v>Medium Effort</v>
      </c>
      <c r="I30" t="str">
        <f>VLOOKUP(SpendTable[[#This Row],[Country]],Countries_Registry!$A$1:$D$34,2,FALSE)</f>
        <v>Western Europe</v>
      </c>
      <c r="J30" t="str">
        <f>VLOOKUP(SpendTable[[#This Row],[Country]],Countries_Registry!$A$1:$D$34,3,FALSE)</f>
        <v>Yes</v>
      </c>
      <c r="K30" t="str">
        <f>VLOOKUP(SpendTable[[#This Row],[Country]],Countries_Registry!$A$1:$D$34,4,FALSE)</f>
        <v>Europe</v>
      </c>
    </row>
    <row r="31" spans="1:11" x14ac:dyDescent="0.25">
      <c r="A31" s="5" t="s">
        <v>11</v>
      </c>
      <c r="B31" s="3">
        <v>10.7</v>
      </c>
      <c r="C31" s="3">
        <v>10</v>
      </c>
      <c r="D31" s="7">
        <v>2.4</v>
      </c>
      <c r="E31" t="str">
        <f>IF(SpendTable[[#This Row],[Spending 2024 (bn $)]]&gt;SpendTable[[#This Row],[Spending 2023 (bn $)]],"Increasing",IF(SpendTable[[#This Row],[Spending 2024 (bn $)]]&lt;SpendTable[[#This Row],[Spending 2023 (bn $)]],"Decreasing","Stable"))</f>
        <v>Decreasing</v>
      </c>
      <c r="F31" t="str">
        <f>IF(SpendTable[[#This Row],[Spending 2024 (bn $)]]&gt;=100,"High",IF(SpendTable[[#This Row],[Spending 2024 (bn $)]]&gt;=30,"Medium","Low"))</f>
        <v>Low</v>
      </c>
      <c r="G31" s="18">
        <v>-6.5420560747663503E-2</v>
      </c>
      <c r="H31" t="str">
        <f>IF(SpendTable[[#This Row],[% GDP 2024]]&gt;=5,"High Effort",IF(SpendTable[[#This Row],[% GDP 2024]]&gt;=2,"Medium Effort","Low Effort"))</f>
        <v>Medium Effort</v>
      </c>
      <c r="I31" t="str">
        <f>VLOOKUP(SpendTable[[#This Row],[Country]],Countries_Registry!$A$1:$D$34,2,FALSE)</f>
        <v>Latin America</v>
      </c>
      <c r="J31" t="str">
        <f>VLOOKUP(SpendTable[[#This Row],[Country]],Countries_Registry!$A$1:$D$34,3,FALSE)</f>
        <v>No</v>
      </c>
      <c r="K31" t="str">
        <f>VLOOKUP(SpendTable[[#This Row],[Country]],Countries_Registry!$A$1:$D$34,4,FALSE)</f>
        <v>Americas</v>
      </c>
    </row>
    <row r="32" spans="1:11" x14ac:dyDescent="0.25">
      <c r="A32" s="5" t="s">
        <v>42</v>
      </c>
      <c r="B32" s="3">
        <v>7.7</v>
      </c>
      <c r="C32" s="3">
        <v>8.5</v>
      </c>
      <c r="D32" s="7">
        <v>1.3</v>
      </c>
      <c r="E32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2" t="str">
        <f>IF(SpendTable[[#This Row],[Spending 2024 (bn $)]]&gt;=100,"High",IF(SpendTable[[#This Row],[Spending 2024 (bn $)]]&gt;=30,"Medium","Low"))</f>
        <v>Low</v>
      </c>
      <c r="G32" s="18">
        <v>0.103896103896104</v>
      </c>
      <c r="H32" t="str">
        <f>IF(SpendTable[[#This Row],[% GDP 2024]]&gt;=5,"High Effort",IF(SpendTable[[#This Row],[% GDP 2024]]&gt;=2,"Medium Effort","Low Effort"))</f>
        <v>Low Effort</v>
      </c>
      <c r="I32" t="str">
        <f>VLOOKUP(SpendTable[[#This Row],[Country]],Countries_Registry!$A$1:$D$34,2,FALSE)</f>
        <v>Western Europe</v>
      </c>
      <c r="J32" t="str">
        <f>VLOOKUP(SpendTable[[#This Row],[Country]],Countries_Registry!$A$1:$D$34,3,FALSE)</f>
        <v>Yes</v>
      </c>
      <c r="K32" t="str">
        <f>VLOOKUP(SpendTable[[#This Row],[Country]],Countries_Registry!$A$1:$D$34,4,FALSE)</f>
        <v>Europe</v>
      </c>
    </row>
    <row r="33" spans="1:11" x14ac:dyDescent="0.25">
      <c r="A33" s="5" t="s">
        <v>43</v>
      </c>
      <c r="B33" s="3">
        <v>7.7</v>
      </c>
      <c r="C33" s="3">
        <v>8</v>
      </c>
      <c r="D33" s="7">
        <v>3.1</v>
      </c>
      <c r="E33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3" t="str">
        <f>IF(SpendTable[[#This Row],[Spending 2024 (bn $)]]&gt;=100,"High",IF(SpendTable[[#This Row],[Spending 2024 (bn $)]]&gt;=30,"Medium","Low"))</f>
        <v>Low</v>
      </c>
      <c r="G33" s="18">
        <v>3.8961038961038898E-2</v>
      </c>
      <c r="H33" t="str">
        <f>IF(SpendTable[[#This Row],[% GDP 2024]]&gt;=5,"High Effort",IF(SpendTable[[#This Row],[% GDP 2024]]&gt;=2,"Medium Effort","Low Effort"))</f>
        <v>Medium Effort</v>
      </c>
      <c r="I33" t="str">
        <f>VLOOKUP(SpendTable[[#This Row],[Country]],Countries_Registry!$A$1:$D$34,2,FALSE)</f>
        <v>Western Europe</v>
      </c>
      <c r="J33" t="str">
        <f>VLOOKUP(SpendTable[[#This Row],[Country]],Countries_Registry!$A$1:$D$34,3,FALSE)</f>
        <v>Yes</v>
      </c>
      <c r="K33" t="str">
        <f>VLOOKUP(SpendTable[[#This Row],[Country]],Countries_Registry!$A$1:$D$34,4,FALSE)</f>
        <v>Europe</v>
      </c>
    </row>
    <row r="34" spans="1:11" x14ac:dyDescent="0.25">
      <c r="A34" s="13" t="s">
        <v>44</v>
      </c>
      <c r="B34" s="14">
        <v>6.3</v>
      </c>
      <c r="C34" s="14">
        <v>6.8</v>
      </c>
      <c r="D34" s="15">
        <v>0.7</v>
      </c>
      <c r="E34" t="str">
        <f>IF(SpendTable[[#This Row],[Spending 2024 (bn $)]]&gt;SpendTable[[#This Row],[Spending 2023 (bn $)]],"Increasing",IF(SpendTable[[#This Row],[Spending 2024 (bn $)]]&lt;SpendTable[[#This Row],[Spending 2023 (bn $)]],"Decreasing","Stable"))</f>
        <v>Increasing</v>
      </c>
      <c r="F34" t="str">
        <f>IF(SpendTable[[#This Row],[Spending 2024 (bn $)]]&gt;=100,"High",IF(SpendTable[[#This Row],[Spending 2024 (bn $)]]&gt;=30,"Medium","Low"))</f>
        <v>Low</v>
      </c>
      <c r="G34" s="18">
        <v>7.9365079365079402E-2</v>
      </c>
      <c r="H34" t="str">
        <f>IF(SpendTable[[#This Row],[% GDP 2024]]&gt;=5,"High Effort",IF(SpendTable[[#This Row],[% GDP 2024]]&gt;=2,"Medium Effort","Low Effort"))</f>
        <v>Low Effort</v>
      </c>
      <c r="I34" t="str">
        <f>VLOOKUP(SpendTable[[#This Row],[Country]],Countries_Registry!$A$1:$D$34,2,FALSE)</f>
        <v>Western Europe</v>
      </c>
      <c r="J34" t="str">
        <f>VLOOKUP(SpendTable[[#This Row],[Country]],Countries_Registry!$A$1:$D$34,3,FALSE)</f>
        <v>No</v>
      </c>
      <c r="K34" t="str">
        <f>VLOOKUP(SpendTable[[#This Row],[Country]],Countries_Registry!$A$1:$D$34,4,FALSE)</f>
        <v>Europe</v>
      </c>
    </row>
    <row r="37" spans="1:11" x14ac:dyDescent="0.25">
      <c r="A37" s="20" t="s">
        <v>60</v>
      </c>
      <c r="B37" s="21">
        <v>15</v>
      </c>
    </row>
    <row r="38" spans="1:11" x14ac:dyDescent="0.25">
      <c r="A38" s="20" t="s">
        <v>61</v>
      </c>
      <c r="B38" s="22">
        <v>0.69</v>
      </c>
    </row>
    <row r="39" spans="1:11" x14ac:dyDescent="0.25">
      <c r="A39" s="20" t="s">
        <v>65</v>
      </c>
      <c r="B39" s="23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C17" sqref="C17"/>
    </sheetView>
  </sheetViews>
  <sheetFormatPr defaultRowHeight="15" x14ac:dyDescent="0.25"/>
  <cols>
    <col min="1" max="3" width="18" customWidth="1"/>
    <col min="4" max="4" width="12" customWidth="1"/>
  </cols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s="2" t="s">
        <v>22</v>
      </c>
      <c r="B2" s="3">
        <v>916</v>
      </c>
      <c r="C2" s="3">
        <v>997</v>
      </c>
      <c r="D2" s="3">
        <v>3.4</v>
      </c>
    </row>
    <row r="3" spans="1:4" x14ac:dyDescent="0.25">
      <c r="A3" s="2" t="s">
        <v>23</v>
      </c>
      <c r="B3" s="3">
        <v>296</v>
      </c>
      <c r="C3" s="2">
        <v>314</v>
      </c>
      <c r="D3" s="3">
        <v>1.7</v>
      </c>
    </row>
    <row r="4" spans="1:4" x14ac:dyDescent="0.25">
      <c r="A4" s="2" t="s">
        <v>0</v>
      </c>
      <c r="B4" s="3">
        <v>109</v>
      </c>
      <c r="C4" s="3">
        <v>149</v>
      </c>
      <c r="D4" s="3">
        <v>7.1</v>
      </c>
    </row>
    <row r="5" spans="1:4" x14ac:dyDescent="0.25">
      <c r="A5" s="2" t="s">
        <v>24</v>
      </c>
      <c r="B5" s="3">
        <v>66.8</v>
      </c>
      <c r="C5" s="3">
        <v>88.5</v>
      </c>
      <c r="D5" s="3">
        <v>1.9</v>
      </c>
    </row>
    <row r="6" spans="1:4" x14ac:dyDescent="0.25">
      <c r="A6" s="2" t="s">
        <v>1</v>
      </c>
      <c r="B6" s="3">
        <v>83.6</v>
      </c>
      <c r="C6" s="3">
        <v>86.1</v>
      </c>
      <c r="D6" s="3">
        <v>2.2999999999999998</v>
      </c>
    </row>
    <row r="7" spans="1:4" x14ac:dyDescent="0.25">
      <c r="A7" s="2" t="s">
        <v>25</v>
      </c>
      <c r="B7" s="3">
        <v>74.900000000000006</v>
      </c>
      <c r="C7" s="3">
        <v>81.8</v>
      </c>
      <c r="D7" s="3">
        <v>2.2999999999999998</v>
      </c>
    </row>
    <row r="8" spans="1:4" x14ac:dyDescent="0.25">
      <c r="A8" s="2" t="s">
        <v>26</v>
      </c>
      <c r="B8" s="3">
        <v>75.8</v>
      </c>
      <c r="C8" s="3">
        <v>80.3</v>
      </c>
      <c r="D8" s="3">
        <v>7.3</v>
      </c>
    </row>
    <row r="9" spans="1:4" x14ac:dyDescent="0.25">
      <c r="A9" s="2" t="s">
        <v>27</v>
      </c>
      <c r="B9" s="3">
        <v>64.8</v>
      </c>
      <c r="C9" s="3">
        <v>64.7</v>
      </c>
      <c r="D9" s="3">
        <v>34.5</v>
      </c>
    </row>
    <row r="10" spans="1:4" x14ac:dyDescent="0.25">
      <c r="A10" s="2" t="s">
        <v>28</v>
      </c>
      <c r="B10" s="3">
        <v>61.3</v>
      </c>
      <c r="C10" s="3">
        <v>64.7</v>
      </c>
      <c r="D10" s="3">
        <v>2.1</v>
      </c>
    </row>
    <row r="11" spans="1:4" x14ac:dyDescent="0.25">
      <c r="A11" s="2" t="s">
        <v>28</v>
      </c>
      <c r="B11" s="3">
        <v>61.3</v>
      </c>
      <c r="C11" s="3">
        <v>64.7</v>
      </c>
      <c r="D11" s="3">
        <v>2.1</v>
      </c>
    </row>
    <row r="12" spans="1:4" x14ac:dyDescent="0.25">
      <c r="A12" s="2" t="s">
        <v>29</v>
      </c>
      <c r="B12" s="3">
        <v>50.2</v>
      </c>
      <c r="C12" s="3">
        <v>55.3</v>
      </c>
      <c r="D12" s="3">
        <v>1.4</v>
      </c>
    </row>
    <row r="13" spans="1:4" x14ac:dyDescent="0.25">
      <c r="A13" s="2" t="s">
        <v>30</v>
      </c>
      <c r="B13" s="3">
        <v>47.9</v>
      </c>
      <c r="C13" s="3">
        <v>47.6</v>
      </c>
      <c r="D13" s="3">
        <v>2.6</v>
      </c>
    </row>
    <row r="14" spans="1:4" x14ac:dyDescent="0.25">
      <c r="A14" s="2" t="s">
        <v>31</v>
      </c>
      <c r="B14" s="3">
        <v>27.5</v>
      </c>
      <c r="C14" s="3">
        <v>46.5</v>
      </c>
      <c r="D14" s="3">
        <v>8.8000000000000007</v>
      </c>
    </row>
    <row r="15" spans="1:4" x14ac:dyDescent="0.25">
      <c r="A15" s="2" t="s">
        <v>32</v>
      </c>
      <c r="B15" s="3">
        <v>31.6</v>
      </c>
      <c r="C15" s="3">
        <v>38</v>
      </c>
      <c r="D15" s="3">
        <v>4.2</v>
      </c>
    </row>
    <row r="16" spans="1:4" x14ac:dyDescent="0.25">
      <c r="A16" s="2" t="s">
        <v>32</v>
      </c>
      <c r="B16" s="3">
        <v>31.6</v>
      </c>
      <c r="C16" s="3">
        <v>38</v>
      </c>
      <c r="D16" s="3">
        <v>4.2</v>
      </c>
    </row>
    <row r="17" spans="1:4" x14ac:dyDescent="0.25">
      <c r="A17" s="2" t="s">
        <v>33</v>
      </c>
      <c r="B17" s="3">
        <v>35.5</v>
      </c>
      <c r="C17" s="3">
        <v>38</v>
      </c>
      <c r="D17" s="3">
        <v>1.6</v>
      </c>
    </row>
    <row r="18" spans="1:4" x14ac:dyDescent="0.25">
      <c r="A18" s="2" t="s">
        <v>2</v>
      </c>
      <c r="B18" s="3">
        <v>32.299999999999997</v>
      </c>
      <c r="C18" s="3">
        <v>33.799999999999997</v>
      </c>
      <c r="D18" s="3">
        <v>1.9</v>
      </c>
    </row>
    <row r="19" spans="1:4" x14ac:dyDescent="0.25">
      <c r="A19" s="2" t="s">
        <v>3</v>
      </c>
      <c r="B19" s="3">
        <v>27.2</v>
      </c>
      <c r="C19" s="3">
        <v>29.3</v>
      </c>
      <c r="D19" s="3">
        <v>1.3</v>
      </c>
    </row>
    <row r="20" spans="1:4" x14ac:dyDescent="0.25">
      <c r="A20" s="2" t="s">
        <v>34</v>
      </c>
      <c r="B20" s="3">
        <v>15.8</v>
      </c>
      <c r="C20" s="3">
        <v>25</v>
      </c>
      <c r="D20" s="2" t="s">
        <v>4</v>
      </c>
    </row>
    <row r="21" spans="1:4" x14ac:dyDescent="0.25">
      <c r="A21" s="2" t="s">
        <v>35</v>
      </c>
      <c r="B21" s="3">
        <v>23.7</v>
      </c>
      <c r="C21" s="3">
        <v>24.5</v>
      </c>
      <c r="D21" s="3">
        <v>1.5</v>
      </c>
    </row>
    <row r="22" spans="1:4" x14ac:dyDescent="0.25">
      <c r="A22" s="2" t="s">
        <v>37</v>
      </c>
      <c r="B22" s="3">
        <v>16.600000000000001</v>
      </c>
      <c r="C22" s="3">
        <v>21.5</v>
      </c>
      <c r="D22" s="3">
        <v>1.9</v>
      </c>
    </row>
    <row r="23" spans="1:4" x14ac:dyDescent="0.25">
      <c r="A23" s="2" t="s">
        <v>5</v>
      </c>
      <c r="B23" s="2" t="s">
        <v>45</v>
      </c>
      <c r="C23" s="3">
        <v>21.8</v>
      </c>
      <c r="D23" s="3">
        <v>8</v>
      </c>
    </row>
    <row r="24" spans="1:4" x14ac:dyDescent="0.25">
      <c r="A24" s="2" t="s">
        <v>36</v>
      </c>
      <c r="B24" s="3">
        <v>22.9</v>
      </c>
      <c r="C24" s="3">
        <v>23.4</v>
      </c>
      <c r="D24" s="3">
        <v>1.1000000000000001</v>
      </c>
    </row>
    <row r="25" spans="1:4" x14ac:dyDescent="0.25">
      <c r="A25" s="2" t="s">
        <v>7</v>
      </c>
      <c r="B25" s="3">
        <v>16.600000000000001</v>
      </c>
      <c r="C25" s="3">
        <v>16.5</v>
      </c>
      <c r="D25" s="2" t="s">
        <v>45</v>
      </c>
    </row>
    <row r="26" spans="1:4" x14ac:dyDescent="0.25">
      <c r="A26" s="2" t="s">
        <v>22</v>
      </c>
      <c r="B26" s="3">
        <v>916</v>
      </c>
      <c r="C26" s="3">
        <v>997</v>
      </c>
      <c r="D26" s="3">
        <v>3.4</v>
      </c>
    </row>
    <row r="27" spans="1:4" x14ac:dyDescent="0.25">
      <c r="A27" s="2" t="s">
        <v>8</v>
      </c>
      <c r="B27" s="3">
        <v>13.7</v>
      </c>
      <c r="C27" s="3">
        <v>14.2</v>
      </c>
      <c r="D27" s="3">
        <v>2.8</v>
      </c>
    </row>
    <row r="28" spans="1:4" x14ac:dyDescent="0.25">
      <c r="A28" s="2" t="s">
        <v>38</v>
      </c>
      <c r="B28" s="3">
        <v>11.8</v>
      </c>
      <c r="C28" s="3">
        <v>12.5</v>
      </c>
      <c r="D28" s="3">
        <v>0.6</v>
      </c>
    </row>
    <row r="29" spans="1:4" x14ac:dyDescent="0.25">
      <c r="A29" s="2" t="s">
        <v>39</v>
      </c>
      <c r="B29" s="3">
        <v>8.8000000000000007</v>
      </c>
      <c r="C29" s="3">
        <v>12</v>
      </c>
      <c r="D29" s="3">
        <v>2</v>
      </c>
    </row>
    <row r="30" spans="1:4" x14ac:dyDescent="0.25">
      <c r="A30" s="2" t="s">
        <v>40</v>
      </c>
      <c r="B30" s="3">
        <v>8.6999999999999993</v>
      </c>
      <c r="C30" s="3">
        <v>10.9</v>
      </c>
      <c r="D30" s="3">
        <v>2.2000000000000002</v>
      </c>
    </row>
    <row r="31" spans="1:4" x14ac:dyDescent="0.25">
      <c r="A31" s="2" t="s">
        <v>41</v>
      </c>
      <c r="B31" s="3">
        <v>8.1</v>
      </c>
      <c r="C31" s="3">
        <v>10</v>
      </c>
      <c r="D31" s="3">
        <v>2.4</v>
      </c>
    </row>
    <row r="32" spans="1:4" x14ac:dyDescent="0.25">
      <c r="A32" s="2" t="s">
        <v>9</v>
      </c>
      <c r="B32" s="3">
        <v>8.5</v>
      </c>
      <c r="C32" s="3">
        <v>10.199999999999999</v>
      </c>
      <c r="D32" s="3">
        <v>2.7</v>
      </c>
    </row>
    <row r="33" spans="1:4" x14ac:dyDescent="0.25">
      <c r="A33" s="2" t="s">
        <v>10</v>
      </c>
      <c r="B33" s="3">
        <v>9.5</v>
      </c>
      <c r="C33" s="3">
        <v>10.6</v>
      </c>
      <c r="D33" s="3">
        <v>0.8</v>
      </c>
    </row>
    <row r="34" spans="1:4" x14ac:dyDescent="0.25">
      <c r="A34" s="2" t="s">
        <v>11</v>
      </c>
      <c r="B34" s="3">
        <v>10.7</v>
      </c>
      <c r="C34" s="3">
        <v>10</v>
      </c>
      <c r="D34" s="3">
        <v>2.4</v>
      </c>
    </row>
    <row r="35" spans="1:4" x14ac:dyDescent="0.25">
      <c r="A35" s="2" t="s">
        <v>43</v>
      </c>
      <c r="B35" s="3">
        <v>7.7</v>
      </c>
      <c r="C35" s="3">
        <v>8</v>
      </c>
      <c r="D35" s="3">
        <v>3.1</v>
      </c>
    </row>
    <row r="36" spans="1:4" x14ac:dyDescent="0.25">
      <c r="A36" s="2" t="s">
        <v>42</v>
      </c>
      <c r="B36" s="3">
        <v>7.7</v>
      </c>
      <c r="C36" s="3">
        <v>8.5</v>
      </c>
      <c r="D36" s="3">
        <v>1.3</v>
      </c>
    </row>
    <row r="37" spans="1:4" x14ac:dyDescent="0.25">
      <c r="A37" s="2" t="s">
        <v>44</v>
      </c>
      <c r="B37" s="3">
        <v>6.3</v>
      </c>
      <c r="C37" s="3">
        <v>6.8</v>
      </c>
      <c r="D37" s="3">
        <v>0.7</v>
      </c>
    </row>
  </sheetData>
  <sheetProtection algorithmName="SHA-512" hashValue="m5NnKim+fAlcs1Fjzs+mH3XurM2N3GERiqKYmqnNcvzrd9RR+unw7szUqgBS69DHe8Kd7H9A3ejENpxaRI5tpA==" saltValue="VqEpDbUGK7ZONprEpaB3Xg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>
      <selection activeCell="E53" sqref="E53"/>
    </sheetView>
  </sheetViews>
  <sheetFormatPr defaultRowHeight="15" x14ac:dyDescent="0.25"/>
  <cols>
    <col min="1" max="1" width="18" customWidth="1"/>
    <col min="2" max="2" width="22" customWidth="1"/>
    <col min="3" max="3" width="8" customWidth="1"/>
    <col min="4" max="4" width="12" customWidth="1"/>
  </cols>
  <sheetData>
    <row r="1" spans="1:4" x14ac:dyDescent="0.25">
      <c r="A1" s="1" t="s">
        <v>18</v>
      </c>
      <c r="B1" s="1" t="s">
        <v>46</v>
      </c>
      <c r="C1" s="1" t="s">
        <v>12</v>
      </c>
      <c r="D1" s="1" t="s">
        <v>47</v>
      </c>
    </row>
    <row r="2" spans="1:4" x14ac:dyDescent="0.25">
      <c r="A2" s="2" t="s">
        <v>22</v>
      </c>
      <c r="B2" s="2" t="s">
        <v>48</v>
      </c>
      <c r="C2" s="2" t="s">
        <v>49</v>
      </c>
      <c r="D2" s="2" t="s">
        <v>50</v>
      </c>
    </row>
    <row r="3" spans="1:4" x14ac:dyDescent="0.25">
      <c r="A3" s="2" t="s">
        <v>23</v>
      </c>
      <c r="B3" s="2" t="s">
        <v>51</v>
      </c>
      <c r="C3" s="2" t="s">
        <v>13</v>
      </c>
      <c r="D3" s="2" t="s">
        <v>14</v>
      </c>
    </row>
    <row r="4" spans="1:4" x14ac:dyDescent="0.25">
      <c r="A4" s="2" t="s">
        <v>0</v>
      </c>
      <c r="B4" s="2" t="s">
        <v>52</v>
      </c>
      <c r="C4" s="2" t="s">
        <v>13</v>
      </c>
      <c r="D4" s="2" t="s">
        <v>53</v>
      </c>
    </row>
    <row r="5" spans="1:4" x14ac:dyDescent="0.25">
      <c r="A5" s="2" t="s">
        <v>24</v>
      </c>
      <c r="B5" s="2" t="s">
        <v>54</v>
      </c>
      <c r="C5" s="2" t="s">
        <v>49</v>
      </c>
      <c r="D5" s="2" t="s">
        <v>53</v>
      </c>
    </row>
    <row r="6" spans="1:4" x14ac:dyDescent="0.25">
      <c r="A6" s="2" t="s">
        <v>1</v>
      </c>
      <c r="B6" s="2" t="s">
        <v>55</v>
      </c>
      <c r="C6" s="2" t="s">
        <v>13</v>
      </c>
      <c r="D6" s="2" t="s">
        <v>14</v>
      </c>
    </row>
    <row r="7" spans="1:4" x14ac:dyDescent="0.25">
      <c r="A7" s="2" t="s">
        <v>25</v>
      </c>
      <c r="B7" s="2" t="s">
        <v>54</v>
      </c>
      <c r="C7" s="2" t="s">
        <v>49</v>
      </c>
      <c r="D7" s="2" t="s">
        <v>53</v>
      </c>
    </row>
    <row r="8" spans="1:4" x14ac:dyDescent="0.25">
      <c r="A8" s="2" t="s">
        <v>26</v>
      </c>
      <c r="B8" s="2" t="s">
        <v>56</v>
      </c>
      <c r="C8" s="2" t="s">
        <v>13</v>
      </c>
      <c r="D8" s="2" t="s">
        <v>14</v>
      </c>
    </row>
    <row r="9" spans="1:4" x14ac:dyDescent="0.25">
      <c r="A9" s="2" t="s">
        <v>27</v>
      </c>
      <c r="B9" s="2" t="s">
        <v>52</v>
      </c>
      <c r="C9" s="2" t="s">
        <v>13</v>
      </c>
      <c r="D9" s="2" t="s">
        <v>53</v>
      </c>
    </row>
    <row r="10" spans="1:4" x14ac:dyDescent="0.25">
      <c r="A10" s="2" t="s">
        <v>28</v>
      </c>
      <c r="B10" s="2" t="s">
        <v>54</v>
      </c>
      <c r="C10" s="2" t="s">
        <v>49</v>
      </c>
      <c r="D10" s="2" t="s">
        <v>53</v>
      </c>
    </row>
    <row r="11" spans="1:4" x14ac:dyDescent="0.25">
      <c r="A11" s="2" t="s">
        <v>29</v>
      </c>
      <c r="B11" s="2" t="s">
        <v>51</v>
      </c>
      <c r="C11" s="2" t="s">
        <v>13</v>
      </c>
      <c r="D11" s="2" t="s">
        <v>14</v>
      </c>
    </row>
    <row r="12" spans="1:4" x14ac:dyDescent="0.25">
      <c r="A12" s="2" t="s">
        <v>30</v>
      </c>
      <c r="B12" s="2" t="s">
        <v>51</v>
      </c>
      <c r="C12" s="2" t="s">
        <v>13</v>
      </c>
      <c r="D12" s="2" t="s">
        <v>14</v>
      </c>
    </row>
    <row r="13" spans="1:4" x14ac:dyDescent="0.25">
      <c r="A13" s="2" t="s">
        <v>31</v>
      </c>
      <c r="B13" s="2" t="s">
        <v>56</v>
      </c>
      <c r="C13" s="2" t="s">
        <v>13</v>
      </c>
      <c r="D13" s="2" t="s">
        <v>14</v>
      </c>
    </row>
    <row r="14" spans="1:4" x14ac:dyDescent="0.25">
      <c r="A14" s="2" t="s">
        <v>32</v>
      </c>
      <c r="B14" s="2" t="s">
        <v>52</v>
      </c>
      <c r="C14" s="2" t="s">
        <v>49</v>
      </c>
      <c r="D14" s="2" t="s">
        <v>53</v>
      </c>
    </row>
    <row r="15" spans="1:4" x14ac:dyDescent="0.25">
      <c r="A15" s="2" t="s">
        <v>33</v>
      </c>
      <c r="B15" s="2" t="s">
        <v>54</v>
      </c>
      <c r="C15" s="2" t="s">
        <v>49</v>
      </c>
      <c r="D15" s="2" t="s">
        <v>53</v>
      </c>
    </row>
    <row r="16" spans="1:4" x14ac:dyDescent="0.25">
      <c r="A16" s="2" t="s">
        <v>2</v>
      </c>
      <c r="B16" s="2" t="s">
        <v>15</v>
      </c>
      <c r="C16" s="2" t="s">
        <v>13</v>
      </c>
      <c r="D16" s="2" t="s">
        <v>15</v>
      </c>
    </row>
    <row r="17" spans="1:4" x14ac:dyDescent="0.25">
      <c r="A17" s="2" t="s">
        <v>3</v>
      </c>
      <c r="B17" s="2" t="s">
        <v>48</v>
      </c>
      <c r="C17" s="2" t="s">
        <v>49</v>
      </c>
      <c r="D17" s="2" t="s">
        <v>50</v>
      </c>
    </row>
    <row r="18" spans="1:4" x14ac:dyDescent="0.25">
      <c r="A18" s="2" t="s">
        <v>34</v>
      </c>
      <c r="B18" s="2" t="s">
        <v>56</v>
      </c>
      <c r="C18" s="2" t="s">
        <v>49</v>
      </c>
      <c r="D18" s="2" t="s">
        <v>14</v>
      </c>
    </row>
    <row r="19" spans="1:4" x14ac:dyDescent="0.25">
      <c r="A19" s="2" t="s">
        <v>35</v>
      </c>
      <c r="B19" s="2" t="s">
        <v>54</v>
      </c>
      <c r="C19" s="2" t="s">
        <v>49</v>
      </c>
      <c r="D19" s="2" t="s">
        <v>53</v>
      </c>
    </row>
    <row r="20" spans="1:4" x14ac:dyDescent="0.25">
      <c r="A20" s="2" t="s">
        <v>37</v>
      </c>
      <c r="B20" s="2" t="s">
        <v>54</v>
      </c>
      <c r="C20" s="2" t="s">
        <v>49</v>
      </c>
      <c r="D20" s="2" t="s">
        <v>53</v>
      </c>
    </row>
    <row r="21" spans="1:4" x14ac:dyDescent="0.25">
      <c r="A21" s="2" t="s">
        <v>5</v>
      </c>
      <c r="B21" s="2" t="s">
        <v>57</v>
      </c>
      <c r="C21" s="2" t="s">
        <v>13</v>
      </c>
      <c r="D21" s="2" t="s">
        <v>16</v>
      </c>
    </row>
    <row r="22" spans="1:4" x14ac:dyDescent="0.25">
      <c r="A22" s="2" t="s">
        <v>36</v>
      </c>
      <c r="B22" s="2" t="s">
        <v>58</v>
      </c>
      <c r="C22" s="2" t="s">
        <v>13</v>
      </c>
      <c r="D22" s="2" t="s">
        <v>50</v>
      </c>
    </row>
    <row r="23" spans="1:4" x14ac:dyDescent="0.25">
      <c r="A23" s="2" t="s">
        <v>7</v>
      </c>
      <c r="B23" s="2" t="s">
        <v>51</v>
      </c>
      <c r="C23" s="2" t="s">
        <v>13</v>
      </c>
      <c r="D23" s="2" t="s">
        <v>14</v>
      </c>
    </row>
    <row r="24" spans="1:4" x14ac:dyDescent="0.25">
      <c r="A24" s="2" t="s">
        <v>8</v>
      </c>
      <c r="B24" s="2" t="s">
        <v>59</v>
      </c>
      <c r="C24" s="2" t="s">
        <v>13</v>
      </c>
      <c r="D24" s="2" t="s">
        <v>14</v>
      </c>
    </row>
    <row r="25" spans="1:4" x14ac:dyDescent="0.25">
      <c r="A25" s="2" t="s">
        <v>38</v>
      </c>
      <c r="B25" s="2" t="s">
        <v>58</v>
      </c>
      <c r="C25" s="2" t="s">
        <v>13</v>
      </c>
      <c r="D25" s="2" t="s">
        <v>50</v>
      </c>
    </row>
    <row r="26" spans="1:4" x14ac:dyDescent="0.25">
      <c r="A26" s="2" t="s">
        <v>39</v>
      </c>
      <c r="B26" s="2" t="s">
        <v>54</v>
      </c>
      <c r="C26" s="2" t="s">
        <v>49</v>
      </c>
      <c r="D26" s="2" t="s">
        <v>53</v>
      </c>
    </row>
    <row r="27" spans="1:4" x14ac:dyDescent="0.25">
      <c r="A27" s="2" t="s">
        <v>40</v>
      </c>
      <c r="B27" s="2" t="s">
        <v>54</v>
      </c>
      <c r="C27" s="2" t="s">
        <v>49</v>
      </c>
      <c r="D27" s="2" t="s">
        <v>53</v>
      </c>
    </row>
    <row r="28" spans="1:4" x14ac:dyDescent="0.25">
      <c r="A28" s="2" t="s">
        <v>41</v>
      </c>
      <c r="B28" s="2" t="s">
        <v>54</v>
      </c>
      <c r="C28" s="2" t="s">
        <v>49</v>
      </c>
      <c r="D28" s="2" t="s">
        <v>53</v>
      </c>
    </row>
    <row r="29" spans="1:4" x14ac:dyDescent="0.25">
      <c r="A29" s="2" t="s">
        <v>9</v>
      </c>
      <c r="B29" s="2" t="s">
        <v>55</v>
      </c>
      <c r="C29" s="2" t="s">
        <v>13</v>
      </c>
      <c r="D29" s="2" t="s">
        <v>14</v>
      </c>
    </row>
    <row r="30" spans="1:4" x14ac:dyDescent="0.25">
      <c r="A30" s="2" t="s">
        <v>10</v>
      </c>
      <c r="B30" s="2" t="s">
        <v>59</v>
      </c>
      <c r="C30" s="2" t="s">
        <v>13</v>
      </c>
      <c r="D30" s="2" t="s">
        <v>14</v>
      </c>
    </row>
    <row r="31" spans="1:4" x14ac:dyDescent="0.25">
      <c r="A31" s="2" t="s">
        <v>11</v>
      </c>
      <c r="B31" s="2" t="s">
        <v>58</v>
      </c>
      <c r="C31" s="2" t="s">
        <v>13</v>
      </c>
      <c r="D31" s="2" t="s">
        <v>50</v>
      </c>
    </row>
    <row r="32" spans="1:4" x14ac:dyDescent="0.25">
      <c r="A32" s="2" t="s">
        <v>43</v>
      </c>
      <c r="B32" s="2" t="s">
        <v>54</v>
      </c>
      <c r="C32" s="2" t="s">
        <v>49</v>
      </c>
      <c r="D32" s="2" t="s">
        <v>53</v>
      </c>
    </row>
    <row r="33" spans="1:4" x14ac:dyDescent="0.25">
      <c r="A33" s="2" t="s">
        <v>42</v>
      </c>
      <c r="B33" s="2" t="s">
        <v>54</v>
      </c>
      <c r="C33" s="2" t="s">
        <v>49</v>
      </c>
      <c r="D33" s="2" t="s">
        <v>53</v>
      </c>
    </row>
    <row r="34" spans="1:4" x14ac:dyDescent="0.25">
      <c r="A34" s="2" t="s">
        <v>44</v>
      </c>
      <c r="B34" s="2" t="s">
        <v>54</v>
      </c>
      <c r="C34" s="2" t="s">
        <v>13</v>
      </c>
      <c r="D34" s="2" t="s">
        <v>53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61A0-4B07-4C84-8790-3A429FF2BB27}">
  <dimension ref="A1:N11"/>
  <sheetViews>
    <sheetView topLeftCell="F1" workbookViewId="0">
      <selection activeCell="K7" sqref="K7"/>
    </sheetView>
  </sheetViews>
  <sheetFormatPr defaultRowHeight="15" x14ac:dyDescent="0.25"/>
  <cols>
    <col min="1" max="1" width="18.28515625" bestFit="1" customWidth="1"/>
    <col min="2" max="2" width="29" bestFit="1" customWidth="1"/>
    <col min="5" max="5" width="29" bestFit="1" customWidth="1"/>
    <col min="6" max="6" width="5" bestFit="1" customWidth="1"/>
    <col min="10" max="10" width="18.28515625" bestFit="1" customWidth="1"/>
    <col min="11" max="11" width="29" bestFit="1" customWidth="1"/>
    <col min="14" max="14" width="23" customWidth="1"/>
  </cols>
  <sheetData>
    <row r="1" spans="1:14" ht="15.75" thickBot="1" x14ac:dyDescent="0.3">
      <c r="A1" s="25" t="s">
        <v>66</v>
      </c>
    </row>
    <row r="4" spans="1:14" x14ac:dyDescent="0.25">
      <c r="A4" s="24" t="s">
        <v>67</v>
      </c>
      <c r="B4" t="s">
        <v>69</v>
      </c>
      <c r="E4" s="24" t="s">
        <v>72</v>
      </c>
      <c r="J4" s="24" t="s">
        <v>67</v>
      </c>
      <c r="K4" t="s">
        <v>69</v>
      </c>
      <c r="N4" t="s">
        <v>73</v>
      </c>
    </row>
    <row r="5" spans="1:14" x14ac:dyDescent="0.25">
      <c r="A5" s="26" t="s">
        <v>0</v>
      </c>
      <c r="B5" s="32">
        <v>149</v>
      </c>
      <c r="E5" s="26" t="s">
        <v>70</v>
      </c>
      <c r="F5" s="32">
        <v>1321</v>
      </c>
      <c r="J5" s="26" t="s">
        <v>48</v>
      </c>
      <c r="K5" s="32">
        <v>997</v>
      </c>
      <c r="N5" s="28">
        <f>SUM(SpendTable[Spending 2024 (bn $)])</f>
        <v>2461.0000000000005</v>
      </c>
    </row>
    <row r="6" spans="1:14" x14ac:dyDescent="0.25">
      <c r="A6" s="26" t="s">
        <v>23</v>
      </c>
      <c r="B6" s="32">
        <v>314</v>
      </c>
      <c r="E6" s="26" t="s">
        <v>69</v>
      </c>
      <c r="F6" s="32">
        <v>1460</v>
      </c>
      <c r="J6" s="26" t="s">
        <v>51</v>
      </c>
      <c r="K6" s="32">
        <v>314</v>
      </c>
    </row>
    <row r="7" spans="1:14" x14ac:dyDescent="0.25">
      <c r="A7" s="26" t="s">
        <v>22</v>
      </c>
      <c r="B7" s="32">
        <v>997</v>
      </c>
      <c r="J7" s="26" t="s">
        <v>52</v>
      </c>
      <c r="K7" s="32">
        <v>149</v>
      </c>
      <c r="N7" t="s">
        <v>74</v>
      </c>
    </row>
    <row r="8" spans="1:14" x14ac:dyDescent="0.25">
      <c r="A8" s="26" t="s">
        <v>68</v>
      </c>
      <c r="B8" s="32">
        <v>1460</v>
      </c>
      <c r="J8" s="26" t="s">
        <v>68</v>
      </c>
      <c r="K8" s="32">
        <v>1460</v>
      </c>
      <c r="N8">
        <f>COUNTA(SpendTable[Country])</f>
        <v>33</v>
      </c>
    </row>
    <row r="10" spans="1:14" x14ac:dyDescent="0.25">
      <c r="N10" t="s">
        <v>75</v>
      </c>
    </row>
    <row r="11" spans="1:14" x14ac:dyDescent="0.25">
      <c r="N11" s="18">
        <f>AVERAGE(SpendTable[% Change])</f>
        <v>0.14392900916564969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Dashboard</vt:lpstr>
      <vt:lpstr>Clean_Data</vt:lpstr>
      <vt:lpstr>Raw_Data</vt:lpstr>
      <vt:lpstr>Countries_Registry</vt:lpstr>
      <vt:lpstr>Pivot_Engine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Pasquali</cp:lastModifiedBy>
  <dcterms:created xsi:type="dcterms:W3CDTF">2026-07-13T11:25:08Z</dcterms:created>
  <dcterms:modified xsi:type="dcterms:W3CDTF">2026-07-16T14:35:24Z</dcterms:modified>
</cp:coreProperties>
</file>