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ky\Desktop\Progetto SIPRI\"/>
    </mc:Choice>
  </mc:AlternateContent>
  <xr:revisionPtr revIDLastSave="0" documentId="13_ncr:1_{B624A798-0DBF-4F5F-A79C-96CCE11C1595}" xr6:coauthVersionLast="47" xr6:coauthVersionMax="47" xr10:uidLastSave="{00000000-0000-0000-0000-000000000000}"/>
  <workbookProtection lockStructure="1"/>
  <bookViews>
    <workbookView xWindow="4305" yWindow="4020" windowWidth="21600" windowHeight="11295" activeTab="3" xr2:uid="{00000000-000D-0000-FFFF-FFFF00000000}"/>
  </bookViews>
  <sheets>
    <sheet name="Pivots" sheetId="5" r:id="rId1"/>
    <sheet name="Clean_Data" sheetId="4" r:id="rId2"/>
    <sheet name="Raw_Data" sheetId="2" r:id="rId3"/>
    <sheet name="Countries_Registry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</calcChain>
</file>

<file path=xl/sharedStrings.xml><?xml version="1.0" encoding="utf-8"?>
<sst xmlns="http://schemas.openxmlformats.org/spreadsheetml/2006/main" count="249" uniqueCount="70">
  <si>
    <t>Russia</t>
  </si>
  <si>
    <t>India</t>
  </si>
  <si>
    <t>Australia</t>
  </si>
  <si>
    <t>Canada</t>
  </si>
  <si>
    <t>1,9</t>
  </si>
  <si>
    <t>Algeria</t>
  </si>
  <si>
    <t>n.d.</t>
  </si>
  <si>
    <t>Taiwan</t>
  </si>
  <si>
    <t>Singapore</t>
  </si>
  <si>
    <t>Pakistan</t>
  </si>
  <si>
    <t>Indonesia</t>
  </si>
  <si>
    <t>Colombia</t>
  </si>
  <si>
    <t>NATO</t>
  </si>
  <si>
    <t>No</t>
  </si>
  <si>
    <t>Asia</t>
  </si>
  <si>
    <t>Oceania</t>
  </si>
  <si>
    <t>Africa</t>
  </si>
  <si>
    <t>Trend</t>
  </si>
  <si>
    <t>Country</t>
  </si>
  <si>
    <t>Spending 2023 (bn $)</t>
  </si>
  <si>
    <t>Spending 2024 (bn $)</t>
  </si>
  <si>
    <t>% GDP 2024</t>
  </si>
  <si>
    <t>United States</t>
  </si>
  <si>
    <t>China</t>
  </si>
  <si>
    <t>Germany</t>
  </si>
  <si>
    <t>United Kingdom</t>
  </si>
  <si>
    <t>Saudi Arabia</t>
  </si>
  <si>
    <t>Ukraine</t>
  </si>
  <si>
    <t>France</t>
  </si>
  <si>
    <t>Japan</t>
  </si>
  <si>
    <t>South Korea</t>
  </si>
  <si>
    <t>Israel</t>
  </si>
  <si>
    <t>Poland</t>
  </si>
  <si>
    <t>Italy</t>
  </si>
  <si>
    <t>Turkey</t>
  </si>
  <si>
    <t>Spain</t>
  </si>
  <si>
    <t>Brazil</t>
  </si>
  <si>
    <t>Netherlands</t>
  </si>
  <si>
    <t>Mexico</t>
  </si>
  <si>
    <t>Sweden</t>
  </si>
  <si>
    <t>Norway</t>
  </si>
  <si>
    <t>Denmark</t>
  </si>
  <si>
    <t>Belgium</t>
  </si>
  <si>
    <t>Greece</t>
  </si>
  <si>
    <t>Switzerland</t>
  </si>
  <si>
    <t>n/a</t>
  </si>
  <si>
    <t>Region</t>
  </si>
  <si>
    <t>Continent</t>
  </si>
  <si>
    <t>North America</t>
  </si>
  <si>
    <t>Yes</t>
  </si>
  <si>
    <t>Americas</t>
  </si>
  <si>
    <t>East Asia</t>
  </si>
  <si>
    <t>Eastern Europe</t>
  </si>
  <si>
    <t>Europe</t>
  </si>
  <si>
    <t>Western Europe</t>
  </si>
  <si>
    <t>South Asia</t>
  </si>
  <si>
    <t>Middle East</t>
  </si>
  <si>
    <t>North Africa</t>
  </si>
  <si>
    <t>Latin America</t>
  </si>
  <si>
    <t>Southeast Asia</t>
  </si>
  <si>
    <t>NATO Countries:</t>
  </si>
  <si>
    <t>Max Increase:</t>
  </si>
  <si>
    <t>Spending Category</t>
  </si>
  <si>
    <t>% Change</t>
  </si>
  <si>
    <t>Military Effort</t>
  </si>
  <si>
    <t>Index</t>
  </si>
  <si>
    <t>Countries</t>
  </si>
  <si>
    <t>Sum of Spending 2024 (bn $)</t>
  </si>
  <si>
    <t>Average of % GDP 2024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</si>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</sst>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16324F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3" fillId="0" borderId="2" xfId="0" applyFont="1" applyBorder="1"/>
    <xf numFmtId="164" fontId="2" fillId="0" borderId="3" xfId="0" applyNumberFormat="1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7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4" fillId="3" borderId="5" xfId="0" applyFont="1" applyFill="1" applyBorder="1"/>
    <xf numFmtId="10" fontId="4" fillId="3" borderId="5" xfId="0" applyNumberFormat="1" applyFont="1" applyFill="1" applyBorder="1"/>
    <xf numFmtId="10" fontId="0" fillId="0" borderId="0" xfId="0" applyNumberFormat="1"/>
    <xf numFmtId="0" fontId="1" fillId="3" borderId="5" xfId="0" applyFont="1" applyFill="1" applyBorder="1"/>
    <xf numFmtId="0" fontId="5" fillId="4" borderId="1" xfId="0" applyFont="1" applyFill="1" applyBorder="1"/>
    <xf numFmtId="164" fontId="3" fillId="4" borderId="1" xfId="0" applyNumberFormat="1" applyFont="1" applyFill="1" applyBorder="1"/>
    <xf numFmtId="10" fontId="3" fillId="4" borderId="1" xfId="0" applyNumberFormat="1" applyFont="1" applyFill="1" applyBorder="1"/>
    <xf numFmtId="10" fontId="3" fillId="4" borderId="1" xfId="0" applyNumberFormat="1" applyFont="1" applyFill="1" applyBorder="1" applyAlignment="1">
      <alignment horizontal="right"/>
    </xf>
    <xf numFmtId="0" fontId="0" fillId="0" borderId="0" xfId="0" pivotButton="1"/>
    <xf numFmtId="165" fontId="0" fillId="0" borderId="0" xfId="0" applyNumberFormat="1"/>
  </cellXfs>
  <cellStyles count="1">
    <cellStyle name="Normale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#,##0.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#,##0.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#,##0.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6324F"/>
        </patternFill>
      </fill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[Sipri_Analysis.xlsx]Pivots!PivotTable1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Military Spending by Region, 2024 ($bn)</a:t>
            </a:r>
          </a:p>
        </c:rich>
      </c:tx>
      <c:layout>
        <c:manualLayout>
          <c:xMode val="edge"/>
          <c:yMode val="edge"/>
          <c:x val="0.35002777777777777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Pivots!$A$4:$A$14</c:f>
              <c:strCache>
                <c:ptCount val="10"/>
                <c:pt idx="0">
                  <c:v>North America</c:v>
                </c:pt>
                <c:pt idx="1">
                  <c:v>East Asia</c:v>
                </c:pt>
                <c:pt idx="2">
                  <c:v>Western Europe</c:v>
                </c:pt>
                <c:pt idx="3">
                  <c:v>Eastern Europe</c:v>
                </c:pt>
                <c:pt idx="4">
                  <c:v>Middle East</c:v>
                </c:pt>
                <c:pt idx="5">
                  <c:v>South Asia</c:v>
                </c:pt>
                <c:pt idx="6">
                  <c:v>Latin America</c:v>
                </c:pt>
                <c:pt idx="7">
                  <c:v>Oceania</c:v>
                </c:pt>
                <c:pt idx="8">
                  <c:v>Southeast Asia</c:v>
                </c:pt>
                <c:pt idx="9">
                  <c:v>North Africa</c:v>
                </c:pt>
              </c:strCache>
            </c:strRef>
          </c:cat>
          <c:val>
            <c:numRef>
              <c:f>Pivots!$B$4:$B$14</c:f>
              <c:numCache>
                <c:formatCode>General</c:formatCode>
                <c:ptCount val="10"/>
                <c:pt idx="0">
                  <c:v>1026.3</c:v>
                </c:pt>
                <c:pt idx="1">
                  <c:v>433.40000000000003</c:v>
                </c:pt>
                <c:pt idx="2">
                  <c:v>375.2</c:v>
                </c:pt>
                <c:pt idx="3">
                  <c:v>251.7</c:v>
                </c:pt>
                <c:pt idx="4">
                  <c:v>151.80000000000001</c:v>
                </c:pt>
                <c:pt idx="5">
                  <c:v>96.3</c:v>
                </c:pt>
                <c:pt idx="6">
                  <c:v>45.9</c:v>
                </c:pt>
                <c:pt idx="7">
                  <c:v>33.799999999999997</c:v>
                </c:pt>
                <c:pt idx="8">
                  <c:v>24.799999999999997</c:v>
                </c:pt>
                <c:pt idx="9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A-482D-8A23-1556D5FEB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5819072"/>
        <c:axId val="948304464"/>
      </c:barChart>
      <c:catAx>
        <c:axId val="133581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8304464"/>
        <c:crosses val="autoZero"/>
        <c:auto val="1"/>
        <c:lblAlgn val="ctr"/>
        <c:lblOffset val="100"/>
        <c:noMultiLvlLbl val="0"/>
      </c:catAx>
      <c:valAx>
        <c:axId val="94830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581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7</xdr:row>
      <xdr:rowOff>138112</xdr:rowOff>
    </xdr:from>
    <xdr:to>
      <xdr:col>8</xdr:col>
      <xdr:colOff>1190625</xdr:colOff>
      <xdr:row>22</xdr:row>
      <xdr:rowOff>23812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16D3ED9-879F-5F02-0639-2860C297D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ky" refreshedDate="46217.509721527778" createdVersion="8" refreshedVersion="8" minRefreshableVersion="3" recordCount="33" xr:uid="{9546CDF7-2509-44BC-AC46-A18D7514285B}">
  <cacheSource type="worksheet">
    <worksheetSource name="SpendTable"/>
  </cacheSource>
  <cacheFields count="11">
    <cacheField name="Country" numFmtId="0">
      <sharedItems/>
    </cacheField>
    <cacheField name="Spending 2023 (bn $)" numFmtId="0">
      <sharedItems containsMixedTypes="1" containsNumber="1" minValue="6.3" maxValue="916"/>
    </cacheField>
    <cacheField name="Spending 2024 (bn $)" numFmtId="0">
      <sharedItems containsSemiMixedTypes="0" containsString="0" containsNumber="1" minValue="6.8" maxValue="997"/>
    </cacheField>
    <cacheField name="% GDP 2024" numFmtId="0">
      <sharedItems containsMixedTypes="1" containsNumber="1" minValue="0.6" maxValue="34.5"/>
    </cacheField>
    <cacheField name="Trend" numFmtId="0">
      <sharedItems count="2">
        <s v="Increasing"/>
        <s v="Decreasing"/>
      </sharedItems>
    </cacheField>
    <cacheField name="Spending Category" numFmtId="0">
      <sharedItems count="3">
        <s v="High"/>
        <s v="Medium"/>
        <s v="Low"/>
      </sharedItems>
    </cacheField>
    <cacheField name="% Change" numFmtId="10">
      <sharedItems containsString="0" containsBlank="1" containsNumber="1" minValue="-6.5420560747663503E-2" maxValue="0.69090909090909103"/>
    </cacheField>
    <cacheField name="Military Effort" numFmtId="0">
      <sharedItems/>
    </cacheField>
    <cacheField name="Region" numFmtId="0">
      <sharedItems count="10">
        <s v="North America"/>
        <s v="East Asia"/>
        <s v="Eastern Europe"/>
        <s v="Western Europe"/>
        <s v="South Asia"/>
        <s v="Middle East"/>
        <s v="Oceania"/>
        <s v="Latin America"/>
        <s v="North Africa"/>
        <s v="Southeast Asia"/>
      </sharedItems>
    </cacheField>
    <cacheField name="NATO" numFmtId="0">
      <sharedItems count="2">
        <s v="Yes"/>
        <s v="No"/>
      </sharedItems>
    </cacheField>
    <cacheField name="Contin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United States"/>
    <n v="916"/>
    <n v="997"/>
    <n v="3.4"/>
    <x v="0"/>
    <x v="0"/>
    <n v="8.8427947598253301E-2"/>
    <s v="Medium Effort"/>
    <x v="0"/>
    <x v="0"/>
    <s v="Americas"/>
  </r>
  <r>
    <s v="China"/>
    <n v="296"/>
    <n v="314"/>
    <n v="1.7"/>
    <x v="0"/>
    <x v="0"/>
    <n v="6.08108108108108E-2"/>
    <s v="Low Effort"/>
    <x v="1"/>
    <x v="1"/>
    <s v="Asia"/>
  </r>
  <r>
    <s v="Russia"/>
    <n v="109"/>
    <n v="149"/>
    <n v="7.1"/>
    <x v="0"/>
    <x v="0"/>
    <n v="0.36697247706421998"/>
    <s v="High Effort"/>
    <x v="2"/>
    <x v="1"/>
    <s v="Europe"/>
  </r>
  <r>
    <s v="Germany"/>
    <n v="66.8"/>
    <n v="88.5"/>
    <n v="1.9"/>
    <x v="0"/>
    <x v="1"/>
    <n v="0.32485029940119797"/>
    <s v="Low Effort"/>
    <x v="3"/>
    <x v="0"/>
    <s v="Europe"/>
  </r>
  <r>
    <s v="India"/>
    <n v="83.6"/>
    <n v="86.1"/>
    <n v="2.2999999999999998"/>
    <x v="0"/>
    <x v="1"/>
    <n v="2.9904306220095701E-2"/>
    <s v="Medium Effort"/>
    <x v="4"/>
    <x v="1"/>
    <s v="Asia"/>
  </r>
  <r>
    <s v="United Kingdom"/>
    <n v="74.900000000000006"/>
    <n v="81.8"/>
    <n v="2.2999999999999998"/>
    <x v="0"/>
    <x v="1"/>
    <n v="9.2122830440587306E-2"/>
    <s v="Medium Effort"/>
    <x v="3"/>
    <x v="0"/>
    <s v="Europe"/>
  </r>
  <r>
    <s v="Saudi Arabia"/>
    <n v="75.8"/>
    <n v="80.3"/>
    <n v="7.3"/>
    <x v="0"/>
    <x v="1"/>
    <n v="5.9366754617414301E-2"/>
    <s v="High Effort"/>
    <x v="5"/>
    <x v="1"/>
    <s v="Asia"/>
  </r>
  <r>
    <s v="Ukraine"/>
    <n v="64.8"/>
    <n v="64.7"/>
    <n v="34.5"/>
    <x v="1"/>
    <x v="1"/>
    <n v="-1.54320987654312E-3"/>
    <s v="High Effort"/>
    <x v="2"/>
    <x v="1"/>
    <s v="Europe"/>
  </r>
  <r>
    <s v="France"/>
    <n v="61.3"/>
    <n v="64.7"/>
    <n v="2.1"/>
    <x v="0"/>
    <x v="1"/>
    <n v="5.5464926590538401E-2"/>
    <s v="Medium Effort"/>
    <x v="3"/>
    <x v="0"/>
    <s v="Europe"/>
  </r>
  <r>
    <s v="Japan"/>
    <n v="50.2"/>
    <n v="55.3"/>
    <n v="1.4"/>
    <x v="0"/>
    <x v="1"/>
    <n v="0.101593625498008"/>
    <s v="Low Effort"/>
    <x v="1"/>
    <x v="1"/>
    <s v="Asia"/>
  </r>
  <r>
    <s v="South Korea"/>
    <n v="47.9"/>
    <n v="47.6"/>
    <n v="2.6"/>
    <x v="1"/>
    <x v="1"/>
    <n v="-6.2630480167014E-3"/>
    <s v="Medium Effort"/>
    <x v="1"/>
    <x v="1"/>
    <s v="Asia"/>
  </r>
  <r>
    <s v="Israel"/>
    <n v="27.5"/>
    <n v="46.5"/>
    <n v="8.8000000000000007"/>
    <x v="0"/>
    <x v="1"/>
    <n v="0.69090909090909103"/>
    <s v="High Effort"/>
    <x v="5"/>
    <x v="1"/>
    <s v="Asia"/>
  </r>
  <r>
    <s v="Poland"/>
    <n v="31.6"/>
    <n v="38"/>
    <n v="4.2"/>
    <x v="0"/>
    <x v="1"/>
    <n v="0.20253164556962"/>
    <s v="Medium Effort"/>
    <x v="2"/>
    <x v="0"/>
    <s v="Europe"/>
  </r>
  <r>
    <s v="Italy"/>
    <n v="35.5"/>
    <n v="38"/>
    <n v="1.6"/>
    <x v="0"/>
    <x v="1"/>
    <n v="7.0422535211267595E-2"/>
    <s v="Low Effort"/>
    <x v="3"/>
    <x v="0"/>
    <s v="Europe"/>
  </r>
  <r>
    <s v="Australia"/>
    <n v="32.299999999999997"/>
    <n v="33.799999999999997"/>
    <n v="1.9"/>
    <x v="0"/>
    <x v="1"/>
    <n v="4.6439628482972103E-2"/>
    <s v="Low Effort"/>
    <x v="6"/>
    <x v="1"/>
    <s v="Oceania"/>
  </r>
  <r>
    <s v="Canada"/>
    <n v="27.2"/>
    <n v="29.3"/>
    <n v="1.3"/>
    <x v="0"/>
    <x v="2"/>
    <n v="7.7205882352941194E-2"/>
    <s v="Low Effort"/>
    <x v="0"/>
    <x v="0"/>
    <s v="Americas"/>
  </r>
  <r>
    <s v="Turkey"/>
    <n v="15.8"/>
    <n v="25"/>
    <n v="1.9"/>
    <x v="0"/>
    <x v="2"/>
    <n v="0.582278481012658"/>
    <s v="Low Effort"/>
    <x v="5"/>
    <x v="0"/>
    <s v="Asia"/>
  </r>
  <r>
    <s v="Spain"/>
    <n v="23.7"/>
    <n v="24.5"/>
    <n v="1.5"/>
    <x v="0"/>
    <x v="2"/>
    <n v="3.37552742616034E-2"/>
    <s v="Low Effort"/>
    <x v="3"/>
    <x v="0"/>
    <s v="Europe"/>
  </r>
  <r>
    <s v="Brazil"/>
    <n v="22.9"/>
    <n v="23.4"/>
    <n v="1.1000000000000001"/>
    <x v="0"/>
    <x v="2"/>
    <n v="2.1834061135371199E-2"/>
    <s v="Low Effort"/>
    <x v="7"/>
    <x v="1"/>
    <s v="Americas"/>
  </r>
  <r>
    <s v="Algeria"/>
    <s v="n.d."/>
    <n v="21.8"/>
    <n v="8"/>
    <x v="1"/>
    <x v="2"/>
    <m/>
    <s v="High Effort"/>
    <x v="8"/>
    <x v="1"/>
    <s v="Africa"/>
  </r>
  <r>
    <s v="Netherlands"/>
    <n v="16.600000000000001"/>
    <n v="21.5"/>
    <n v="1.9"/>
    <x v="0"/>
    <x v="2"/>
    <n v="0.29518072289156599"/>
    <s v="Low Effort"/>
    <x v="3"/>
    <x v="0"/>
    <s v="Europe"/>
  </r>
  <r>
    <s v="Taiwan"/>
    <n v="16.600000000000001"/>
    <n v="16.5"/>
    <s v="n.d."/>
    <x v="1"/>
    <x v="2"/>
    <n v="-6.0240963855422497E-3"/>
    <s v="High Effort"/>
    <x v="1"/>
    <x v="1"/>
    <s v="Asia"/>
  </r>
  <r>
    <s v="Singapore"/>
    <n v="13.7"/>
    <n v="14.2"/>
    <n v="2.8"/>
    <x v="0"/>
    <x v="2"/>
    <n v="3.6496350364963501E-2"/>
    <s v="Medium Effort"/>
    <x v="9"/>
    <x v="1"/>
    <s v="Asia"/>
  </r>
  <r>
    <s v="Mexico"/>
    <n v="11.8"/>
    <n v="12.5"/>
    <n v="0.6"/>
    <x v="0"/>
    <x v="2"/>
    <n v="5.9322033898305003E-2"/>
    <s v="Low Effort"/>
    <x v="7"/>
    <x v="1"/>
    <s v="Americas"/>
  </r>
  <r>
    <s v="Sweden"/>
    <n v="8.8000000000000007"/>
    <n v="12"/>
    <n v="2"/>
    <x v="0"/>
    <x v="2"/>
    <n v="0.36363636363636398"/>
    <s v="Medium Effort"/>
    <x v="3"/>
    <x v="0"/>
    <s v="Europe"/>
  </r>
  <r>
    <s v="Norway"/>
    <n v="8.6999999999999993"/>
    <n v="10.9"/>
    <n v="2.2000000000000002"/>
    <x v="0"/>
    <x v="2"/>
    <n v="0.252873563218391"/>
    <s v="Medium Effort"/>
    <x v="3"/>
    <x v="0"/>
    <s v="Europe"/>
  </r>
  <r>
    <s v="Indonesia"/>
    <n v="9.5"/>
    <n v="10.6"/>
    <n v="0.8"/>
    <x v="0"/>
    <x v="2"/>
    <n v="0.11578947368421"/>
    <s v="Low Effort"/>
    <x v="9"/>
    <x v="1"/>
    <s v="Asia"/>
  </r>
  <r>
    <s v="Pakistan"/>
    <n v="8.5"/>
    <n v="10.199999999999999"/>
    <n v="2.7"/>
    <x v="0"/>
    <x v="2"/>
    <n v="0.2"/>
    <s v="Medium Effort"/>
    <x v="4"/>
    <x v="1"/>
    <s v="Asia"/>
  </r>
  <r>
    <s v="Denmark"/>
    <n v="8.1"/>
    <n v="10"/>
    <n v="2.4"/>
    <x v="0"/>
    <x v="2"/>
    <n v="0.234567901234568"/>
    <s v="Medium Effort"/>
    <x v="3"/>
    <x v="0"/>
    <s v="Europe"/>
  </r>
  <r>
    <s v="Colombia"/>
    <n v="10.7"/>
    <n v="10"/>
    <n v="2.4"/>
    <x v="1"/>
    <x v="2"/>
    <n v="-6.5420560747663503E-2"/>
    <s v="Medium Effort"/>
    <x v="7"/>
    <x v="1"/>
    <s v="Americas"/>
  </r>
  <r>
    <s v="Belgium"/>
    <n v="7.7"/>
    <n v="8.5"/>
    <n v="1.3"/>
    <x v="0"/>
    <x v="2"/>
    <n v="0.103896103896104"/>
    <s v="Low Effort"/>
    <x v="3"/>
    <x v="0"/>
    <s v="Europe"/>
  </r>
  <r>
    <s v="Greece"/>
    <n v="7.7"/>
    <n v="8"/>
    <n v="3.1"/>
    <x v="0"/>
    <x v="2"/>
    <n v="3.8961038961038898E-2"/>
    <s v="Medium Effort"/>
    <x v="3"/>
    <x v="0"/>
    <s v="Europe"/>
  </r>
  <r>
    <s v="Switzerland"/>
    <n v="6.3"/>
    <n v="6.8"/>
    <n v="0.7"/>
    <x v="0"/>
    <x v="2"/>
    <n v="7.9365079365079402E-2"/>
    <s v="Low Effort"/>
    <x v="3"/>
    <x v="1"/>
    <s v="Europ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10724-C58F-4BA5-AC33-AFE50710E33B}" name="PivotTable2" cacheId="0" applyNumberFormats="0" applyBorderFormats="0" applyFontFormats="0" applyPatternFormats="0" applyAlignmentFormats="0" applyWidthHeightFormats="1" dataCaption="Valori" grandTotalCaption="Overall Total" updatedVersion="8" minRefreshableVersion="3" useAutoFormatting="1" itemPrintTitles="1" createdVersion="8" indent="0" compact="0" compactData="0" multipleFieldFilters="0" rowHeaderCaption="NATO Membership">
  <location ref="F3:I6" firstHeaderRow="0" firstDataRow="1" firstDataCol="1"/>
  <pivotFields count="11"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ing 2024 (bn $)" fld="2" baseField="9" baseItem="0"/>
    <dataField name="Average of % GDP 2024" fld="3" subtotal="average" baseField="9" baseItem="0" numFmtId="165"/>
    <dataField name="Countries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713C8-90E2-49DD-B00F-0C525C20B7A8}" name="PivotTable1" cacheId="0" applyNumberFormats="0" applyBorderFormats="0" applyFontFormats="0" applyPatternFormats="0" applyAlignmentFormats="0" applyWidthHeightFormats="1" dataCaption="Valori" grandTotalCaption="Overall Total" updatedVersion="8" minRefreshableVersion="3" useAutoFormatting="1" itemPrintTitles="1" createdVersion="8" indent="0" compact="0" compactData="0" multipleFieldFilters="0" chartFormat="3">
  <location ref="A3:B14" firstHeaderRow="1" firstDataRow="1" firstDataCol="1"/>
  <pivotFields count="11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1"/>
        <item x="2"/>
        <item x="7"/>
        <item x="5"/>
        <item x="8"/>
        <item x="0"/>
        <item x="6"/>
        <item x="4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8"/>
  </rowFields>
  <rowItems count="11">
    <i>
      <x v="5"/>
    </i>
    <i>
      <x/>
    </i>
    <i>
      <x v="9"/>
    </i>
    <i>
      <x v="1"/>
    </i>
    <i>
      <x v="3"/>
    </i>
    <i>
      <x v="7"/>
    </i>
    <i>
      <x v="2"/>
    </i>
    <i>
      <x v="6"/>
    </i>
    <i>
      <x v="8"/>
    </i>
    <i>
      <x v="4"/>
    </i>
    <i t="grand">
      <x/>
    </i>
  </rowItems>
  <colItems count="1">
    <i/>
  </colItems>
  <dataFields count="1">
    <dataField name="Sum of Spending 2024 (bn $)" fld="2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E54A1-15FF-4F69-A730-8240A7DADE5A}" name="SpendTable" displayName="SpendTable" ref="A1:K34" totalsRowShown="0" headerRowDxfId="14" headerRowBorderDxfId="13" tableBorderDxfId="12" totalsRowBorderDxfId="11">
  <autoFilter ref="A1:K34" xr:uid="{8D4E54A1-15FF-4F69-A730-8240A7DADE5A}"/>
  <sortState xmlns:xlrd2="http://schemas.microsoft.com/office/spreadsheetml/2017/richdata2" ref="A2:C34">
    <sortCondition descending="1" ref="C1:C34"/>
  </sortState>
  <tableColumns count="11">
    <tableColumn id="1" xr3:uid="{428C070D-4027-49CD-A940-40C2C98FB170}" name="Country" dataDxfId="10"/>
    <tableColumn id="2" xr3:uid="{354B73E0-E329-4326-81DC-ED35CE15B0F0}" name="Spending 2023 (bn $)" dataDxfId="9"/>
    <tableColumn id="3" xr3:uid="{8D8DB788-3E82-4F8A-956D-1091E124F2C6}" name="Spending 2024 (bn $)" dataDxfId="8"/>
    <tableColumn id="4" xr3:uid="{5C9C0798-6BA4-4499-A08D-D816E17A255F}" name="% GDP 2024" dataDxfId="7"/>
    <tableColumn id="5" xr3:uid="{ECA40F0C-40A1-4B37-9440-602B24D21A6C}" name="Trend" dataDxfId="6">
      <calculatedColumnFormula>IF(SpendTable[[#This Row],[Spending 2024 (bn $)]]&gt;SpendTable[[#This Row],[Spending 2023 (bn $)]],"Increasing",IF(SpendTable[[#This Row],[Spending 2024 (bn $)]]&lt;SpendTable[[#This Row],[Spending 2023 (bn $)]],"Decreasing","Stable"))</calculatedColumnFormula>
    </tableColumn>
    <tableColumn id="6" xr3:uid="{62288705-6AED-4398-A136-B5EF373C0FFB}" name="Spending Category" dataDxfId="5">
      <calculatedColumnFormula>IF(SpendTable[[#This Row],[Spending 2024 (bn $)]]&gt;=100,"High",IF(SpendTable[[#This Row],[Spending 2024 (bn $)]]&gt;=30,"Medium","Low"))</calculatedColumnFormula>
    </tableColumn>
    <tableColumn id="8" xr3:uid="{F608C14C-BA88-4D29-BCCC-DDEC350F39A0}" name="% Change" dataDxfId="4"/>
    <tableColumn id="9" xr3:uid="{D9261038-3263-4CE5-86C7-FF77182C219A}" name="Military Effort" dataDxfId="3">
      <calculatedColumnFormula>IF(SpendTable[[#This Row],[% GDP 2024]]&gt;=5,"High Effort",IF(SpendTable[[#This Row],[% GDP 2024]]&gt;=2,"Medium Effort","Low Effort"))</calculatedColumnFormula>
    </tableColumn>
    <tableColumn id="7" xr3:uid="{3135CC9C-9729-4E09-9CB5-A960B25D514C}" name="Region" dataDxfId="2">
      <calculatedColumnFormula>VLOOKUP(SpendTable[[#This Row],[Country]],Countries_Registry!$A$1:$D$34,2,FALSE)</calculatedColumnFormula>
    </tableColumn>
    <tableColumn id="10" xr3:uid="{E35D91E4-31B4-47A4-8C51-7416628705B9}" name="NATO" dataDxfId="1">
      <calculatedColumnFormula>VLOOKUP(SpendTable[[#This Row],[Country]],Countries_Registry!$A$1:$D$34,3,FALSE)</calculatedColumnFormula>
    </tableColumn>
    <tableColumn id="11" xr3:uid="{18C29B7C-DC87-41B0-8933-BFF295CCA1AF}" name="Continent" dataDxfId="0">
      <calculatedColumnFormula>VLOOKUP(SpendTable[[#This Row],[Country]],Countries_Registry!$A$1:$D$34,4,FALSE)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A25F-2F58-4CC3-9DE8-C91EFF6C95ED}">
  <dimension ref="A3:I14"/>
  <sheetViews>
    <sheetView workbookViewId="0">
      <selection activeCell="F3" sqref="F3"/>
    </sheetView>
  </sheetViews>
  <sheetFormatPr defaultRowHeight="15" x14ac:dyDescent="0.25"/>
  <cols>
    <col min="1" max="1" width="18.28515625" bestFit="1" customWidth="1"/>
    <col min="2" max="2" width="26.42578125" bestFit="1" customWidth="1"/>
    <col min="3" max="3" width="30.140625" bestFit="1" customWidth="1"/>
    <col min="6" max="6" width="19.85546875" bestFit="1" customWidth="1"/>
    <col min="7" max="7" width="25.5703125" customWidth="1"/>
    <col min="8" max="8" width="10" bestFit="1" customWidth="1"/>
    <col min="9" max="9" width="18.28515625" bestFit="1" customWidth="1"/>
  </cols>
  <sheetData>
    <row r="3" spans="1:9" x14ac:dyDescent="0.25">
      <c r="A3" s="24" t="s">
        <v>46</v>
      </c>
      <c r="B3" t="s">
        <v>67</v>
      </c>
      <c r="F3" s="24" t="s">
        <v>12</v>
      </c>
      <c r="G3" t="s">
        <v>67</v>
      </c>
      <c r="H3" t="s">
        <v>68</v>
      </c>
      <c r="I3" t="s">
        <v>66</v>
      </c>
    </row>
    <row r="4" spans="1:9" x14ac:dyDescent="0.25">
      <c r="A4" t="s">
        <v>48</v>
      </c>
      <c r="B4">
        <v>1026.3</v>
      </c>
      <c r="F4" t="s">
        <v>13</v>
      </c>
      <c r="G4">
        <v>1003.3</v>
      </c>
      <c r="H4" s="25">
        <v>5.1000000000000005</v>
      </c>
      <c r="I4">
        <v>18</v>
      </c>
    </row>
    <row r="5" spans="1:9" x14ac:dyDescent="0.25">
      <c r="A5" t="s">
        <v>51</v>
      </c>
      <c r="B5">
        <v>433.40000000000003</v>
      </c>
      <c r="F5" t="s">
        <v>49</v>
      </c>
      <c r="G5">
        <v>1457.7</v>
      </c>
      <c r="H5" s="25">
        <v>2.2066666666666661</v>
      </c>
      <c r="I5">
        <v>15</v>
      </c>
    </row>
    <row r="6" spans="1:9" x14ac:dyDescent="0.25">
      <c r="A6" t="s">
        <v>54</v>
      </c>
      <c r="B6">
        <v>375.2</v>
      </c>
      <c r="F6" t="s">
        <v>69</v>
      </c>
      <c r="G6">
        <v>2461.0000000000005</v>
      </c>
      <c r="H6" s="25">
        <v>3.7437500000000004</v>
      </c>
      <c r="I6">
        <v>33</v>
      </c>
    </row>
    <row r="7" spans="1:9" x14ac:dyDescent="0.25">
      <c r="A7" t="s">
        <v>52</v>
      </c>
      <c r="B7">
        <v>251.7</v>
      </c>
    </row>
    <row r="8" spans="1:9" x14ac:dyDescent="0.25">
      <c r="A8" t="s">
        <v>56</v>
      </c>
      <c r="B8">
        <v>151.80000000000001</v>
      </c>
    </row>
    <row r="9" spans="1:9" x14ac:dyDescent="0.25">
      <c r="A9" t="s">
        <v>55</v>
      </c>
      <c r="B9">
        <v>96.3</v>
      </c>
    </row>
    <row r="10" spans="1:9" x14ac:dyDescent="0.25">
      <c r="A10" t="s">
        <v>58</v>
      </c>
      <c r="B10">
        <v>45.9</v>
      </c>
    </row>
    <row r="11" spans="1:9" x14ac:dyDescent="0.25">
      <c r="A11" t="s">
        <v>15</v>
      </c>
      <c r="B11">
        <v>33.799999999999997</v>
      </c>
    </row>
    <row r="12" spans="1:9" x14ac:dyDescent="0.25">
      <c r="A12" t="s">
        <v>59</v>
      </c>
      <c r="B12">
        <v>24.799999999999997</v>
      </c>
    </row>
    <row r="13" spans="1:9" x14ac:dyDescent="0.25">
      <c r="A13" t="s">
        <v>57</v>
      </c>
      <c r="B13">
        <v>21.8</v>
      </c>
    </row>
    <row r="14" spans="1:9" x14ac:dyDescent="0.25">
      <c r="A14" t="s">
        <v>69</v>
      </c>
      <c r="B14">
        <v>2461</v>
      </c>
    </row>
  </sheetData>
  <sheetProtection algorithmName="SHA-512" hashValue="aH6L5KHToc7REATQ7lYblN8PNRl6n5roNaT7ehPsq51mz95GMhRsgyzbN4Y/BZpluV4x6/OzSkZGAJkQtTRFZw==" saltValue="MF1RRMr/dgUcIA3nIM/Ws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FCB-253F-474B-BAF6-37F23D06B1E8}">
  <dimension ref="A1:K39"/>
  <sheetViews>
    <sheetView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18" customWidth="1"/>
    <col min="2" max="2" width="26.28515625" customWidth="1"/>
    <col min="3" max="3" width="26" customWidth="1"/>
    <col min="4" max="4" width="17.42578125" customWidth="1"/>
    <col min="5" max="5" width="11.140625" customWidth="1"/>
    <col min="6" max="6" width="23.85546875" customWidth="1"/>
    <col min="7" max="7" width="15.42578125" style="18" customWidth="1"/>
    <col min="8" max="8" width="17.5703125" customWidth="1"/>
    <col min="9" max="9" width="14.28515625" customWidth="1"/>
    <col min="11" max="11" width="15.85546875" customWidth="1"/>
  </cols>
  <sheetData>
    <row r="1" spans="1:11" x14ac:dyDescent="0.25">
      <c r="A1" s="10" t="s">
        <v>18</v>
      </c>
      <c r="B1" s="11" t="s">
        <v>19</v>
      </c>
      <c r="C1" s="11" t="s">
        <v>20</v>
      </c>
      <c r="D1" s="12" t="s">
        <v>21</v>
      </c>
      <c r="E1" s="16" t="s">
        <v>17</v>
      </c>
      <c r="F1" s="16" t="s">
        <v>62</v>
      </c>
      <c r="G1" s="17" t="s">
        <v>63</v>
      </c>
      <c r="H1" s="16" t="s">
        <v>64</v>
      </c>
      <c r="I1" s="19" t="s">
        <v>46</v>
      </c>
      <c r="J1" s="19" t="s">
        <v>12</v>
      </c>
      <c r="K1" s="19" t="s">
        <v>47</v>
      </c>
    </row>
    <row r="2" spans="1:11" x14ac:dyDescent="0.25">
      <c r="A2" s="5" t="s">
        <v>22</v>
      </c>
      <c r="B2" s="3">
        <v>916</v>
      </c>
      <c r="C2" s="3">
        <v>997</v>
      </c>
      <c r="D2" s="7">
        <v>3.4</v>
      </c>
      <c r="E2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" t="str">
        <f>IF(SpendTable[[#This Row],[Spending 2024 (bn $)]]&gt;=100,"High",IF(SpendTable[[#This Row],[Spending 2024 (bn $)]]&gt;=30,"Medium","Low"))</f>
        <v>High</v>
      </c>
      <c r="G2" s="18">
        <v>8.8427947598253301E-2</v>
      </c>
      <c r="H2" t="str">
        <f>IF(SpendTable[[#This Row],[% GDP 2024]]&gt;=5,"High Effort",IF(SpendTable[[#This Row],[% GDP 2024]]&gt;=2,"Medium Effort","Low Effort"))</f>
        <v>Medium Effort</v>
      </c>
      <c r="I2" t="str">
        <f>VLOOKUP(SpendTable[[#This Row],[Country]],Countries_Registry!$A$1:$D$34,2,FALSE)</f>
        <v>North America</v>
      </c>
      <c r="J2" t="str">
        <f>VLOOKUP(SpendTable[[#This Row],[Country]],Countries_Registry!$A$1:$D$34,3,FALSE)</f>
        <v>Yes</v>
      </c>
      <c r="K2" t="str">
        <f>VLOOKUP(SpendTable[[#This Row],[Country]],Countries_Registry!$A$1:$D$34,4,FALSE)</f>
        <v>Americas</v>
      </c>
    </row>
    <row r="3" spans="1:11" x14ac:dyDescent="0.25">
      <c r="A3" s="5" t="s">
        <v>23</v>
      </c>
      <c r="B3" s="3">
        <v>296</v>
      </c>
      <c r="C3" s="2">
        <v>314</v>
      </c>
      <c r="D3" s="7">
        <v>1.7</v>
      </c>
      <c r="E3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" t="str">
        <f>IF(SpendTable[[#This Row],[Spending 2024 (bn $)]]&gt;=100,"High",IF(SpendTable[[#This Row],[Spending 2024 (bn $)]]&gt;=30,"Medium","Low"))</f>
        <v>High</v>
      </c>
      <c r="G3" s="18">
        <v>6.08108108108108E-2</v>
      </c>
      <c r="H3" t="str">
        <f>IF(SpendTable[[#This Row],[% GDP 2024]]&gt;=5,"High Effort",IF(SpendTable[[#This Row],[% GDP 2024]]&gt;=2,"Medium Effort","Low Effort"))</f>
        <v>Low Effort</v>
      </c>
      <c r="I3" t="str">
        <f>VLOOKUP(SpendTable[[#This Row],[Country]],Countries_Registry!$A$1:$D$34,2,FALSE)</f>
        <v>East Asia</v>
      </c>
      <c r="J3" t="str">
        <f>VLOOKUP(SpendTable[[#This Row],[Country]],Countries_Registry!$A$1:$D$34,3,FALSE)</f>
        <v>No</v>
      </c>
      <c r="K3" t="str">
        <f>VLOOKUP(SpendTable[[#This Row],[Country]],Countries_Registry!$A$1:$D$34,4,FALSE)</f>
        <v>Asia</v>
      </c>
    </row>
    <row r="4" spans="1:11" x14ac:dyDescent="0.25">
      <c r="A4" s="5" t="s">
        <v>0</v>
      </c>
      <c r="B4" s="3">
        <v>109</v>
      </c>
      <c r="C4" s="3">
        <v>149</v>
      </c>
      <c r="D4" s="7">
        <v>7.1</v>
      </c>
      <c r="E4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4" t="str">
        <f>IF(SpendTable[[#This Row],[Spending 2024 (bn $)]]&gt;=100,"High",IF(SpendTable[[#This Row],[Spending 2024 (bn $)]]&gt;=30,"Medium","Low"))</f>
        <v>High</v>
      </c>
      <c r="G4" s="18">
        <v>0.36697247706421998</v>
      </c>
      <c r="H4" t="str">
        <f>IF(SpendTable[[#This Row],[% GDP 2024]]&gt;=5,"High Effort",IF(SpendTable[[#This Row],[% GDP 2024]]&gt;=2,"Medium Effort","Low Effort"))</f>
        <v>High Effort</v>
      </c>
      <c r="I4" t="str">
        <f>VLOOKUP(SpendTable[[#This Row],[Country]],Countries_Registry!$A$1:$D$34,2,FALSE)</f>
        <v>Eastern Europe</v>
      </c>
      <c r="J4" t="str">
        <f>VLOOKUP(SpendTable[[#This Row],[Country]],Countries_Registry!$A$1:$D$34,3,FALSE)</f>
        <v>No</v>
      </c>
      <c r="K4" t="str">
        <f>VLOOKUP(SpendTable[[#This Row],[Country]],Countries_Registry!$A$1:$D$34,4,FALSE)</f>
        <v>Europe</v>
      </c>
    </row>
    <row r="5" spans="1:11" x14ac:dyDescent="0.25">
      <c r="A5" s="5" t="s">
        <v>24</v>
      </c>
      <c r="B5" s="3">
        <v>66.8</v>
      </c>
      <c r="C5" s="3">
        <v>88.5</v>
      </c>
      <c r="D5" s="7">
        <v>1.9</v>
      </c>
      <c r="E5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5" t="str">
        <f>IF(SpendTable[[#This Row],[Spending 2024 (bn $)]]&gt;=100,"High",IF(SpendTable[[#This Row],[Spending 2024 (bn $)]]&gt;=30,"Medium","Low"))</f>
        <v>Medium</v>
      </c>
      <c r="G5" s="18">
        <v>0.32485029940119797</v>
      </c>
      <c r="H5" t="str">
        <f>IF(SpendTable[[#This Row],[% GDP 2024]]&gt;=5,"High Effort",IF(SpendTable[[#This Row],[% GDP 2024]]&gt;=2,"Medium Effort","Low Effort"))</f>
        <v>Low Effort</v>
      </c>
      <c r="I5" t="str">
        <f>VLOOKUP(SpendTable[[#This Row],[Country]],Countries_Registry!$A$1:$D$34,2,FALSE)</f>
        <v>Western Europe</v>
      </c>
      <c r="J5" t="str">
        <f>VLOOKUP(SpendTable[[#This Row],[Country]],Countries_Registry!$A$1:$D$34,3,FALSE)</f>
        <v>Yes</v>
      </c>
      <c r="K5" t="str">
        <f>VLOOKUP(SpendTable[[#This Row],[Country]],Countries_Registry!$A$1:$D$34,4,FALSE)</f>
        <v>Europe</v>
      </c>
    </row>
    <row r="6" spans="1:11" x14ac:dyDescent="0.25">
      <c r="A6" s="5" t="s">
        <v>1</v>
      </c>
      <c r="B6" s="3">
        <v>83.6</v>
      </c>
      <c r="C6" s="3">
        <v>86.1</v>
      </c>
      <c r="D6" s="7">
        <v>2.2999999999999998</v>
      </c>
      <c r="E6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6" t="str">
        <f>IF(SpendTable[[#This Row],[Spending 2024 (bn $)]]&gt;=100,"High",IF(SpendTable[[#This Row],[Spending 2024 (bn $)]]&gt;=30,"Medium","Low"))</f>
        <v>Medium</v>
      </c>
      <c r="G6" s="18">
        <v>2.9904306220095701E-2</v>
      </c>
      <c r="H6" t="str">
        <f>IF(SpendTable[[#This Row],[% GDP 2024]]&gt;=5,"High Effort",IF(SpendTable[[#This Row],[% GDP 2024]]&gt;=2,"Medium Effort","Low Effort"))</f>
        <v>Medium Effort</v>
      </c>
      <c r="I6" t="str">
        <f>VLOOKUP(SpendTable[[#This Row],[Country]],Countries_Registry!$A$1:$D$34,2,FALSE)</f>
        <v>South Asia</v>
      </c>
      <c r="J6" t="str">
        <f>VLOOKUP(SpendTable[[#This Row],[Country]],Countries_Registry!$A$1:$D$34,3,FALSE)</f>
        <v>No</v>
      </c>
      <c r="K6" t="str">
        <f>VLOOKUP(SpendTable[[#This Row],[Country]],Countries_Registry!$A$1:$D$34,4,FALSE)</f>
        <v>Asia</v>
      </c>
    </row>
    <row r="7" spans="1:11" x14ac:dyDescent="0.25">
      <c r="A7" s="6" t="s">
        <v>25</v>
      </c>
      <c r="B7" s="3">
        <v>74.900000000000006</v>
      </c>
      <c r="C7" s="3">
        <v>81.8</v>
      </c>
      <c r="D7" s="7">
        <v>2.2999999999999998</v>
      </c>
      <c r="E7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7" t="str">
        <f>IF(SpendTable[[#This Row],[Spending 2024 (bn $)]]&gt;=100,"High",IF(SpendTable[[#This Row],[Spending 2024 (bn $)]]&gt;=30,"Medium","Low"))</f>
        <v>Medium</v>
      </c>
      <c r="G7" s="18">
        <v>9.2122830440587306E-2</v>
      </c>
      <c r="H7" t="str">
        <f>IF(SpendTable[[#This Row],[% GDP 2024]]&gt;=5,"High Effort",IF(SpendTable[[#This Row],[% GDP 2024]]&gt;=2,"Medium Effort","Low Effort"))</f>
        <v>Medium Effort</v>
      </c>
      <c r="I7" t="str">
        <f>VLOOKUP(SpendTable[[#This Row],[Country]],Countries_Registry!$A$1:$D$34,2,FALSE)</f>
        <v>Western Europe</v>
      </c>
      <c r="J7" t="str">
        <f>VLOOKUP(SpendTable[[#This Row],[Country]],Countries_Registry!$A$1:$D$34,3,FALSE)</f>
        <v>Yes</v>
      </c>
      <c r="K7" t="str">
        <f>VLOOKUP(SpendTable[[#This Row],[Country]],Countries_Registry!$A$1:$D$34,4,FALSE)</f>
        <v>Europe</v>
      </c>
    </row>
    <row r="8" spans="1:11" x14ac:dyDescent="0.25">
      <c r="A8" s="5" t="s">
        <v>26</v>
      </c>
      <c r="B8" s="3">
        <v>75.8</v>
      </c>
      <c r="C8" s="3">
        <v>80.3</v>
      </c>
      <c r="D8" s="7">
        <v>7.3</v>
      </c>
      <c r="E8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8" t="str">
        <f>IF(SpendTable[[#This Row],[Spending 2024 (bn $)]]&gt;=100,"High",IF(SpendTable[[#This Row],[Spending 2024 (bn $)]]&gt;=30,"Medium","Low"))</f>
        <v>Medium</v>
      </c>
      <c r="G8" s="18">
        <v>5.9366754617414301E-2</v>
      </c>
      <c r="H8" t="str">
        <f>IF(SpendTable[[#This Row],[% GDP 2024]]&gt;=5,"High Effort",IF(SpendTable[[#This Row],[% GDP 2024]]&gt;=2,"Medium Effort","Low Effort"))</f>
        <v>High Effort</v>
      </c>
      <c r="I8" t="str">
        <f>VLOOKUP(SpendTable[[#This Row],[Country]],Countries_Registry!$A$1:$D$34,2,FALSE)</f>
        <v>Middle East</v>
      </c>
      <c r="J8" t="str">
        <f>VLOOKUP(SpendTable[[#This Row],[Country]],Countries_Registry!$A$1:$D$34,3,FALSE)</f>
        <v>No</v>
      </c>
      <c r="K8" t="str">
        <f>VLOOKUP(SpendTable[[#This Row],[Country]],Countries_Registry!$A$1:$D$34,4,FALSE)</f>
        <v>Asia</v>
      </c>
    </row>
    <row r="9" spans="1:11" x14ac:dyDescent="0.25">
      <c r="A9" s="5" t="s">
        <v>27</v>
      </c>
      <c r="B9" s="3">
        <v>64.8</v>
      </c>
      <c r="C9" s="3">
        <v>64.7</v>
      </c>
      <c r="D9" s="7">
        <v>34.5</v>
      </c>
      <c r="E9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9" t="str">
        <f>IF(SpendTable[[#This Row],[Spending 2024 (bn $)]]&gt;=100,"High",IF(SpendTable[[#This Row],[Spending 2024 (bn $)]]&gt;=30,"Medium","Low"))</f>
        <v>Medium</v>
      </c>
      <c r="G9" s="18">
        <v>-1.54320987654312E-3</v>
      </c>
      <c r="H9" t="str">
        <f>IF(SpendTable[[#This Row],[% GDP 2024]]&gt;=5,"High Effort",IF(SpendTable[[#This Row],[% GDP 2024]]&gt;=2,"Medium Effort","Low Effort"))</f>
        <v>High Effort</v>
      </c>
      <c r="I9" t="str">
        <f>VLOOKUP(SpendTable[[#This Row],[Country]],Countries_Registry!$A$1:$D$34,2,FALSE)</f>
        <v>Eastern Europe</v>
      </c>
      <c r="J9" t="str">
        <f>VLOOKUP(SpendTable[[#This Row],[Country]],Countries_Registry!$A$1:$D$34,3,FALSE)</f>
        <v>No</v>
      </c>
      <c r="K9" t="str">
        <f>VLOOKUP(SpendTable[[#This Row],[Country]],Countries_Registry!$A$1:$D$34,4,FALSE)</f>
        <v>Europe</v>
      </c>
    </row>
    <row r="10" spans="1:11" x14ac:dyDescent="0.25">
      <c r="A10" s="5" t="s">
        <v>28</v>
      </c>
      <c r="B10" s="3">
        <v>61.3</v>
      </c>
      <c r="C10" s="3">
        <v>64.7</v>
      </c>
      <c r="D10" s="7">
        <v>2.1</v>
      </c>
      <c r="E10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0" t="str">
        <f>IF(SpendTable[[#This Row],[Spending 2024 (bn $)]]&gt;=100,"High",IF(SpendTable[[#This Row],[Spending 2024 (bn $)]]&gt;=30,"Medium","Low"))</f>
        <v>Medium</v>
      </c>
      <c r="G10" s="18">
        <v>5.5464926590538401E-2</v>
      </c>
      <c r="H10" t="str">
        <f>IF(SpendTable[[#This Row],[% GDP 2024]]&gt;=5,"High Effort",IF(SpendTable[[#This Row],[% GDP 2024]]&gt;=2,"Medium Effort","Low Effort"))</f>
        <v>Medium Effort</v>
      </c>
      <c r="I10" t="str">
        <f>VLOOKUP(SpendTable[[#This Row],[Country]],Countries_Registry!$A$1:$D$34,2,FALSE)</f>
        <v>Western Europe</v>
      </c>
      <c r="J10" t="str">
        <f>VLOOKUP(SpendTable[[#This Row],[Country]],Countries_Registry!$A$1:$D$34,3,FALSE)</f>
        <v>Yes</v>
      </c>
      <c r="K10" t="str">
        <f>VLOOKUP(SpendTable[[#This Row],[Country]],Countries_Registry!$A$1:$D$34,4,FALSE)</f>
        <v>Europe</v>
      </c>
    </row>
    <row r="11" spans="1:11" x14ac:dyDescent="0.25">
      <c r="A11" s="5" t="s">
        <v>29</v>
      </c>
      <c r="B11" s="3">
        <v>50.2</v>
      </c>
      <c r="C11" s="3">
        <v>55.3</v>
      </c>
      <c r="D11" s="7">
        <v>1.4</v>
      </c>
      <c r="E11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1" t="str">
        <f>IF(SpendTable[[#This Row],[Spending 2024 (bn $)]]&gt;=100,"High",IF(SpendTable[[#This Row],[Spending 2024 (bn $)]]&gt;=30,"Medium","Low"))</f>
        <v>Medium</v>
      </c>
      <c r="G11" s="18">
        <v>0.101593625498008</v>
      </c>
      <c r="H11" t="str">
        <f>IF(SpendTable[[#This Row],[% GDP 2024]]&gt;=5,"High Effort",IF(SpendTable[[#This Row],[% GDP 2024]]&gt;=2,"Medium Effort","Low Effort"))</f>
        <v>Low Effort</v>
      </c>
      <c r="I11" t="str">
        <f>VLOOKUP(SpendTable[[#This Row],[Country]],Countries_Registry!$A$1:$D$34,2,FALSE)</f>
        <v>East Asia</v>
      </c>
      <c r="J11" t="str">
        <f>VLOOKUP(SpendTable[[#This Row],[Country]],Countries_Registry!$A$1:$D$34,3,FALSE)</f>
        <v>No</v>
      </c>
      <c r="K11" t="str">
        <f>VLOOKUP(SpendTable[[#This Row],[Country]],Countries_Registry!$A$1:$D$34,4,FALSE)</f>
        <v>Asia</v>
      </c>
    </row>
    <row r="12" spans="1:11" x14ac:dyDescent="0.25">
      <c r="A12" s="5" t="s">
        <v>30</v>
      </c>
      <c r="B12" s="3">
        <v>47.9</v>
      </c>
      <c r="C12" s="3">
        <v>47.6</v>
      </c>
      <c r="D12" s="7">
        <v>2.6</v>
      </c>
      <c r="E12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12" t="str">
        <f>IF(SpendTable[[#This Row],[Spending 2024 (bn $)]]&gt;=100,"High",IF(SpendTable[[#This Row],[Spending 2024 (bn $)]]&gt;=30,"Medium","Low"))</f>
        <v>Medium</v>
      </c>
      <c r="G12" s="18">
        <v>-6.2630480167014E-3</v>
      </c>
      <c r="H12" t="str">
        <f>IF(SpendTable[[#This Row],[% GDP 2024]]&gt;=5,"High Effort",IF(SpendTable[[#This Row],[% GDP 2024]]&gt;=2,"Medium Effort","Low Effort"))</f>
        <v>Medium Effort</v>
      </c>
      <c r="I12" t="str">
        <f>VLOOKUP(SpendTable[[#This Row],[Country]],Countries_Registry!$A$1:$D$34,2,FALSE)</f>
        <v>East Asia</v>
      </c>
      <c r="J12" t="str">
        <f>VLOOKUP(SpendTable[[#This Row],[Country]],Countries_Registry!$A$1:$D$34,3,FALSE)</f>
        <v>No</v>
      </c>
      <c r="K12" t="str">
        <f>VLOOKUP(SpendTable[[#This Row],[Country]],Countries_Registry!$A$1:$D$34,4,FALSE)</f>
        <v>Asia</v>
      </c>
    </row>
    <row r="13" spans="1:11" x14ac:dyDescent="0.25">
      <c r="A13" s="5" t="s">
        <v>31</v>
      </c>
      <c r="B13" s="3">
        <v>27.5</v>
      </c>
      <c r="C13" s="3">
        <v>46.5</v>
      </c>
      <c r="D13" s="7">
        <v>8.8000000000000007</v>
      </c>
      <c r="E13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3" t="str">
        <f>IF(SpendTable[[#This Row],[Spending 2024 (bn $)]]&gt;=100,"High",IF(SpendTable[[#This Row],[Spending 2024 (bn $)]]&gt;=30,"Medium","Low"))</f>
        <v>Medium</v>
      </c>
      <c r="G13" s="18">
        <v>0.69090909090909103</v>
      </c>
      <c r="H13" t="str">
        <f>IF(SpendTable[[#This Row],[% GDP 2024]]&gt;=5,"High Effort",IF(SpendTable[[#This Row],[% GDP 2024]]&gt;=2,"Medium Effort","Low Effort"))</f>
        <v>High Effort</v>
      </c>
      <c r="I13" t="str">
        <f>VLOOKUP(SpendTable[[#This Row],[Country]],Countries_Registry!$A$1:$D$34,2,FALSE)</f>
        <v>Middle East</v>
      </c>
      <c r="J13" t="str">
        <f>VLOOKUP(SpendTable[[#This Row],[Country]],Countries_Registry!$A$1:$D$34,3,FALSE)</f>
        <v>No</v>
      </c>
      <c r="K13" t="str">
        <f>VLOOKUP(SpendTable[[#This Row],[Country]],Countries_Registry!$A$1:$D$34,4,FALSE)</f>
        <v>Asia</v>
      </c>
    </row>
    <row r="14" spans="1:11" x14ac:dyDescent="0.25">
      <c r="A14" s="5" t="s">
        <v>32</v>
      </c>
      <c r="B14" s="3">
        <v>31.6</v>
      </c>
      <c r="C14" s="3">
        <v>38</v>
      </c>
      <c r="D14" s="7">
        <v>4.2</v>
      </c>
      <c r="E14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4" t="str">
        <f>IF(SpendTable[[#This Row],[Spending 2024 (bn $)]]&gt;=100,"High",IF(SpendTable[[#This Row],[Spending 2024 (bn $)]]&gt;=30,"Medium","Low"))</f>
        <v>Medium</v>
      </c>
      <c r="G14" s="18">
        <v>0.20253164556962</v>
      </c>
      <c r="H14" t="str">
        <f>IF(SpendTable[[#This Row],[% GDP 2024]]&gt;=5,"High Effort",IF(SpendTable[[#This Row],[% GDP 2024]]&gt;=2,"Medium Effort","Low Effort"))</f>
        <v>Medium Effort</v>
      </c>
      <c r="I14" t="str">
        <f>VLOOKUP(SpendTable[[#This Row],[Country]],Countries_Registry!$A$1:$D$34,2,FALSE)</f>
        <v>Eastern Europe</v>
      </c>
      <c r="J14" t="str">
        <f>VLOOKUP(SpendTable[[#This Row],[Country]],Countries_Registry!$A$1:$D$34,3,FALSE)</f>
        <v>Yes</v>
      </c>
      <c r="K14" t="str">
        <f>VLOOKUP(SpendTable[[#This Row],[Country]],Countries_Registry!$A$1:$D$34,4,FALSE)</f>
        <v>Europe</v>
      </c>
    </row>
    <row r="15" spans="1:11" x14ac:dyDescent="0.25">
      <c r="A15" s="5" t="s">
        <v>33</v>
      </c>
      <c r="B15" s="3">
        <v>35.5</v>
      </c>
      <c r="C15" s="3">
        <v>38</v>
      </c>
      <c r="D15" s="7">
        <v>1.6</v>
      </c>
      <c r="E15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5" t="str">
        <f>IF(SpendTable[[#This Row],[Spending 2024 (bn $)]]&gt;=100,"High",IF(SpendTable[[#This Row],[Spending 2024 (bn $)]]&gt;=30,"Medium","Low"))</f>
        <v>Medium</v>
      </c>
      <c r="G15" s="18">
        <v>7.0422535211267595E-2</v>
      </c>
      <c r="H15" t="str">
        <f>IF(SpendTable[[#This Row],[% GDP 2024]]&gt;=5,"High Effort",IF(SpendTable[[#This Row],[% GDP 2024]]&gt;=2,"Medium Effort","Low Effort"))</f>
        <v>Low Effort</v>
      </c>
      <c r="I15" t="str">
        <f>VLOOKUP(SpendTable[[#This Row],[Country]],Countries_Registry!$A$1:$D$34,2,FALSE)</f>
        <v>Western Europe</v>
      </c>
      <c r="J15" t="str">
        <f>VLOOKUP(SpendTable[[#This Row],[Country]],Countries_Registry!$A$1:$D$34,3,FALSE)</f>
        <v>Yes</v>
      </c>
      <c r="K15" t="str">
        <f>VLOOKUP(SpendTable[[#This Row],[Country]],Countries_Registry!$A$1:$D$34,4,FALSE)</f>
        <v>Europe</v>
      </c>
    </row>
    <row r="16" spans="1:11" x14ac:dyDescent="0.25">
      <c r="A16" s="5" t="s">
        <v>2</v>
      </c>
      <c r="B16" s="3">
        <v>32.299999999999997</v>
      </c>
      <c r="C16" s="3">
        <v>33.799999999999997</v>
      </c>
      <c r="D16" s="7">
        <v>1.9</v>
      </c>
      <c r="E16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6" t="str">
        <f>IF(SpendTable[[#This Row],[Spending 2024 (bn $)]]&gt;=100,"High",IF(SpendTable[[#This Row],[Spending 2024 (bn $)]]&gt;=30,"Medium","Low"))</f>
        <v>Medium</v>
      </c>
      <c r="G16" s="18">
        <v>4.6439628482972103E-2</v>
      </c>
      <c r="H16" t="str">
        <f>IF(SpendTable[[#This Row],[% GDP 2024]]&gt;=5,"High Effort",IF(SpendTable[[#This Row],[% GDP 2024]]&gt;=2,"Medium Effort","Low Effort"))</f>
        <v>Low Effort</v>
      </c>
      <c r="I16" t="str">
        <f>VLOOKUP(SpendTable[[#This Row],[Country]],Countries_Registry!$A$1:$D$34,2,FALSE)</f>
        <v>Oceania</v>
      </c>
      <c r="J16" t="str">
        <f>VLOOKUP(SpendTable[[#This Row],[Country]],Countries_Registry!$A$1:$D$34,3,FALSE)</f>
        <v>No</v>
      </c>
      <c r="K16" t="str">
        <f>VLOOKUP(SpendTable[[#This Row],[Country]],Countries_Registry!$A$1:$D$34,4,FALSE)</f>
        <v>Oceania</v>
      </c>
    </row>
    <row r="17" spans="1:11" x14ac:dyDescent="0.25">
      <c r="A17" s="5" t="s">
        <v>3</v>
      </c>
      <c r="B17" s="3">
        <v>27.2</v>
      </c>
      <c r="C17" s="3">
        <v>29.3</v>
      </c>
      <c r="D17" s="7">
        <v>1.3</v>
      </c>
      <c r="E17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7" t="str">
        <f>IF(SpendTable[[#This Row],[Spending 2024 (bn $)]]&gt;=100,"High",IF(SpendTable[[#This Row],[Spending 2024 (bn $)]]&gt;=30,"Medium","Low"))</f>
        <v>Low</v>
      </c>
      <c r="G17" s="18">
        <v>7.7205882352941194E-2</v>
      </c>
      <c r="H17" t="str">
        <f>IF(SpendTable[[#This Row],[% GDP 2024]]&gt;=5,"High Effort",IF(SpendTable[[#This Row],[% GDP 2024]]&gt;=2,"Medium Effort","Low Effort"))</f>
        <v>Low Effort</v>
      </c>
      <c r="I17" t="str">
        <f>VLOOKUP(SpendTable[[#This Row],[Country]],Countries_Registry!$A$1:$D$34,2,FALSE)</f>
        <v>North America</v>
      </c>
      <c r="J17" t="str">
        <f>VLOOKUP(SpendTable[[#This Row],[Country]],Countries_Registry!$A$1:$D$34,3,FALSE)</f>
        <v>Yes</v>
      </c>
      <c r="K17" t="str">
        <f>VLOOKUP(SpendTable[[#This Row],[Country]],Countries_Registry!$A$1:$D$34,4,FALSE)</f>
        <v>Americas</v>
      </c>
    </row>
    <row r="18" spans="1:11" x14ac:dyDescent="0.25">
      <c r="A18" s="5" t="s">
        <v>34</v>
      </c>
      <c r="B18" s="3">
        <v>15.8</v>
      </c>
      <c r="C18" s="3">
        <v>25</v>
      </c>
      <c r="D18" s="8">
        <v>1.9</v>
      </c>
      <c r="E18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8" t="str">
        <f>IF(SpendTable[[#This Row],[Spending 2024 (bn $)]]&gt;=100,"High",IF(SpendTable[[#This Row],[Spending 2024 (bn $)]]&gt;=30,"Medium","Low"))</f>
        <v>Low</v>
      </c>
      <c r="G18" s="18">
        <v>0.582278481012658</v>
      </c>
      <c r="H18" t="str">
        <f>IF(SpendTable[[#This Row],[% GDP 2024]]&gt;=5,"High Effort",IF(SpendTable[[#This Row],[% GDP 2024]]&gt;=2,"Medium Effort","Low Effort"))</f>
        <v>Low Effort</v>
      </c>
      <c r="I18" t="str">
        <f>VLOOKUP(SpendTable[[#This Row],[Country]],Countries_Registry!$A$1:$D$34,2,FALSE)</f>
        <v>Middle East</v>
      </c>
      <c r="J18" t="str">
        <f>VLOOKUP(SpendTable[[#This Row],[Country]],Countries_Registry!$A$1:$D$34,3,FALSE)</f>
        <v>Yes</v>
      </c>
      <c r="K18" t="str">
        <f>VLOOKUP(SpendTable[[#This Row],[Country]],Countries_Registry!$A$1:$D$34,4,FALSE)</f>
        <v>Asia</v>
      </c>
    </row>
    <row r="19" spans="1:11" x14ac:dyDescent="0.25">
      <c r="A19" s="5" t="s">
        <v>35</v>
      </c>
      <c r="B19" s="3">
        <v>23.7</v>
      </c>
      <c r="C19" s="3">
        <v>24.5</v>
      </c>
      <c r="D19" s="7">
        <v>1.5</v>
      </c>
      <c r="E19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9" t="str">
        <f>IF(SpendTable[[#This Row],[Spending 2024 (bn $)]]&gt;=100,"High",IF(SpendTable[[#This Row],[Spending 2024 (bn $)]]&gt;=30,"Medium","Low"))</f>
        <v>Low</v>
      </c>
      <c r="G19" s="18">
        <v>3.37552742616034E-2</v>
      </c>
      <c r="H19" t="str">
        <f>IF(SpendTable[[#This Row],[% GDP 2024]]&gt;=5,"High Effort",IF(SpendTable[[#This Row],[% GDP 2024]]&gt;=2,"Medium Effort","Low Effort"))</f>
        <v>Low Effort</v>
      </c>
      <c r="I19" t="str">
        <f>VLOOKUP(SpendTable[[#This Row],[Country]],Countries_Registry!$A$1:$D$34,2,FALSE)</f>
        <v>Western Europe</v>
      </c>
      <c r="J19" t="str">
        <f>VLOOKUP(SpendTable[[#This Row],[Country]],Countries_Registry!$A$1:$D$34,3,FALSE)</f>
        <v>Yes</v>
      </c>
      <c r="K19" t="str">
        <f>VLOOKUP(SpendTable[[#This Row],[Country]],Countries_Registry!$A$1:$D$34,4,FALSE)</f>
        <v>Europe</v>
      </c>
    </row>
    <row r="20" spans="1:11" x14ac:dyDescent="0.25">
      <c r="A20" s="5" t="s">
        <v>36</v>
      </c>
      <c r="B20" s="3">
        <v>22.9</v>
      </c>
      <c r="C20" s="3">
        <v>23.4</v>
      </c>
      <c r="D20" s="7">
        <v>1.1000000000000001</v>
      </c>
      <c r="E20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0" t="str">
        <f>IF(SpendTable[[#This Row],[Spending 2024 (bn $)]]&gt;=100,"High",IF(SpendTable[[#This Row],[Spending 2024 (bn $)]]&gt;=30,"Medium","Low"))</f>
        <v>Low</v>
      </c>
      <c r="G20" s="18">
        <v>2.1834061135371199E-2</v>
      </c>
      <c r="H20" t="str">
        <f>IF(SpendTable[[#This Row],[% GDP 2024]]&gt;=5,"High Effort",IF(SpendTable[[#This Row],[% GDP 2024]]&gt;=2,"Medium Effort","Low Effort"))</f>
        <v>Low Effort</v>
      </c>
      <c r="I20" t="str">
        <f>VLOOKUP(SpendTable[[#This Row],[Country]],Countries_Registry!$A$1:$D$34,2,FALSE)</f>
        <v>Latin America</v>
      </c>
      <c r="J20" t="str">
        <f>VLOOKUP(SpendTable[[#This Row],[Country]],Countries_Registry!$A$1:$D$34,3,FALSE)</f>
        <v>No</v>
      </c>
      <c r="K20" t="str">
        <f>VLOOKUP(SpendTable[[#This Row],[Country]],Countries_Registry!$A$1:$D$34,4,FALSE)</f>
        <v>Americas</v>
      </c>
    </row>
    <row r="21" spans="1:11" x14ac:dyDescent="0.25">
      <c r="A21" s="5" t="s">
        <v>5</v>
      </c>
      <c r="B21" s="4" t="s">
        <v>6</v>
      </c>
      <c r="C21" s="3">
        <v>21.8</v>
      </c>
      <c r="D21" s="7">
        <v>8</v>
      </c>
      <c r="E21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21" t="str">
        <f>IF(SpendTable[[#This Row],[Spending 2024 (bn $)]]&gt;=100,"High",IF(SpendTable[[#This Row],[Spending 2024 (bn $)]]&gt;=30,"Medium","Low"))</f>
        <v>Low</v>
      </c>
      <c r="H21" t="str">
        <f>IF(SpendTable[[#This Row],[% GDP 2024]]&gt;=5,"High Effort",IF(SpendTable[[#This Row],[% GDP 2024]]&gt;=2,"Medium Effort","Low Effort"))</f>
        <v>High Effort</v>
      </c>
      <c r="I21" t="str">
        <f>VLOOKUP(SpendTable[[#This Row],[Country]],Countries_Registry!$A$1:$D$34,2,FALSE)</f>
        <v>North Africa</v>
      </c>
      <c r="J21" t="str">
        <f>VLOOKUP(SpendTable[[#This Row],[Country]],Countries_Registry!$A$1:$D$34,3,FALSE)</f>
        <v>No</v>
      </c>
      <c r="K21" t="str">
        <f>VLOOKUP(SpendTable[[#This Row],[Country]],Countries_Registry!$A$1:$D$34,4,FALSE)</f>
        <v>Africa</v>
      </c>
    </row>
    <row r="22" spans="1:11" x14ac:dyDescent="0.25">
      <c r="A22" s="5" t="s">
        <v>37</v>
      </c>
      <c r="B22" s="3">
        <v>16.600000000000001</v>
      </c>
      <c r="C22" s="3">
        <v>21.5</v>
      </c>
      <c r="D22" s="7">
        <v>1.9</v>
      </c>
      <c r="E22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2" t="str">
        <f>IF(SpendTable[[#This Row],[Spending 2024 (bn $)]]&gt;=100,"High",IF(SpendTable[[#This Row],[Spending 2024 (bn $)]]&gt;=30,"Medium","Low"))</f>
        <v>Low</v>
      </c>
      <c r="G22" s="18">
        <v>0.29518072289156599</v>
      </c>
      <c r="H22" t="str">
        <f>IF(SpendTable[[#This Row],[% GDP 2024]]&gt;=5,"High Effort",IF(SpendTable[[#This Row],[% GDP 2024]]&gt;=2,"Medium Effort","Low Effort"))</f>
        <v>Low Effort</v>
      </c>
      <c r="I22" t="str">
        <f>VLOOKUP(SpendTable[[#This Row],[Country]],Countries_Registry!$A$1:$D$34,2,FALSE)</f>
        <v>Western Europe</v>
      </c>
      <c r="J22" t="str">
        <f>VLOOKUP(SpendTable[[#This Row],[Country]],Countries_Registry!$A$1:$D$34,3,FALSE)</f>
        <v>Yes</v>
      </c>
      <c r="K22" t="str">
        <f>VLOOKUP(SpendTable[[#This Row],[Country]],Countries_Registry!$A$1:$D$34,4,FALSE)</f>
        <v>Europe</v>
      </c>
    </row>
    <row r="23" spans="1:11" x14ac:dyDescent="0.25">
      <c r="A23" s="5" t="s">
        <v>7</v>
      </c>
      <c r="B23" s="3">
        <v>16.600000000000001</v>
      </c>
      <c r="C23" s="3">
        <v>16.5</v>
      </c>
      <c r="D23" s="9" t="s">
        <v>6</v>
      </c>
      <c r="E23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23" t="str">
        <f>IF(SpendTable[[#This Row],[Spending 2024 (bn $)]]&gt;=100,"High",IF(SpendTable[[#This Row],[Spending 2024 (bn $)]]&gt;=30,"Medium","Low"))</f>
        <v>Low</v>
      </c>
      <c r="G23" s="18">
        <v>-6.0240963855422497E-3</v>
      </c>
      <c r="H23" t="str">
        <f>IF(SpendTable[[#This Row],[% GDP 2024]]&gt;=5,"High Effort",IF(SpendTable[[#This Row],[% GDP 2024]]&gt;=2,"Medium Effort","Low Effort"))</f>
        <v>High Effort</v>
      </c>
      <c r="I23" t="str">
        <f>VLOOKUP(SpendTable[[#This Row],[Country]],Countries_Registry!$A$1:$D$34,2,FALSE)</f>
        <v>East Asia</v>
      </c>
      <c r="J23" t="str">
        <f>VLOOKUP(SpendTable[[#This Row],[Country]],Countries_Registry!$A$1:$D$34,3,FALSE)</f>
        <v>No</v>
      </c>
      <c r="K23" t="str">
        <f>VLOOKUP(SpendTable[[#This Row],[Country]],Countries_Registry!$A$1:$D$34,4,FALSE)</f>
        <v>Asia</v>
      </c>
    </row>
    <row r="24" spans="1:11" x14ac:dyDescent="0.25">
      <c r="A24" s="5" t="s">
        <v>8</v>
      </c>
      <c r="B24" s="3">
        <v>13.7</v>
      </c>
      <c r="C24" s="3">
        <v>14.2</v>
      </c>
      <c r="D24" s="7">
        <v>2.8</v>
      </c>
      <c r="E24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4" t="str">
        <f>IF(SpendTable[[#This Row],[Spending 2024 (bn $)]]&gt;=100,"High",IF(SpendTable[[#This Row],[Spending 2024 (bn $)]]&gt;=30,"Medium","Low"))</f>
        <v>Low</v>
      </c>
      <c r="G24" s="18">
        <v>3.6496350364963501E-2</v>
      </c>
      <c r="H24" t="str">
        <f>IF(SpendTable[[#This Row],[% GDP 2024]]&gt;=5,"High Effort",IF(SpendTable[[#This Row],[% GDP 2024]]&gt;=2,"Medium Effort","Low Effort"))</f>
        <v>Medium Effort</v>
      </c>
      <c r="I24" t="str">
        <f>VLOOKUP(SpendTable[[#This Row],[Country]],Countries_Registry!$A$1:$D$34,2,FALSE)</f>
        <v>Southeast Asia</v>
      </c>
      <c r="J24" t="str">
        <f>VLOOKUP(SpendTable[[#This Row],[Country]],Countries_Registry!$A$1:$D$34,3,FALSE)</f>
        <v>No</v>
      </c>
      <c r="K24" t="str">
        <f>VLOOKUP(SpendTable[[#This Row],[Country]],Countries_Registry!$A$1:$D$34,4,FALSE)</f>
        <v>Asia</v>
      </c>
    </row>
    <row r="25" spans="1:11" x14ac:dyDescent="0.25">
      <c r="A25" s="5" t="s">
        <v>38</v>
      </c>
      <c r="B25" s="3">
        <v>11.8</v>
      </c>
      <c r="C25" s="3">
        <v>12.5</v>
      </c>
      <c r="D25" s="7">
        <v>0.6</v>
      </c>
      <c r="E25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5" t="str">
        <f>IF(SpendTable[[#This Row],[Spending 2024 (bn $)]]&gt;=100,"High",IF(SpendTable[[#This Row],[Spending 2024 (bn $)]]&gt;=30,"Medium","Low"))</f>
        <v>Low</v>
      </c>
      <c r="G25" s="18">
        <v>5.9322033898305003E-2</v>
      </c>
      <c r="H25" t="str">
        <f>IF(SpendTable[[#This Row],[% GDP 2024]]&gt;=5,"High Effort",IF(SpendTable[[#This Row],[% GDP 2024]]&gt;=2,"Medium Effort","Low Effort"))</f>
        <v>Low Effort</v>
      </c>
      <c r="I25" t="str">
        <f>VLOOKUP(SpendTable[[#This Row],[Country]],Countries_Registry!$A$1:$D$34,2,FALSE)</f>
        <v>Latin America</v>
      </c>
      <c r="J25" t="str">
        <f>VLOOKUP(SpendTable[[#This Row],[Country]],Countries_Registry!$A$1:$D$34,3,FALSE)</f>
        <v>No</v>
      </c>
      <c r="K25" t="str">
        <f>VLOOKUP(SpendTable[[#This Row],[Country]],Countries_Registry!$A$1:$D$34,4,FALSE)</f>
        <v>Americas</v>
      </c>
    </row>
    <row r="26" spans="1:11" x14ac:dyDescent="0.25">
      <c r="A26" s="5" t="s">
        <v>39</v>
      </c>
      <c r="B26" s="3">
        <v>8.8000000000000007</v>
      </c>
      <c r="C26" s="3">
        <v>12</v>
      </c>
      <c r="D26" s="7">
        <v>2</v>
      </c>
      <c r="E26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6" t="str">
        <f>IF(SpendTable[[#This Row],[Spending 2024 (bn $)]]&gt;=100,"High",IF(SpendTable[[#This Row],[Spending 2024 (bn $)]]&gt;=30,"Medium","Low"))</f>
        <v>Low</v>
      </c>
      <c r="G26" s="18">
        <v>0.36363636363636398</v>
      </c>
      <c r="H26" t="str">
        <f>IF(SpendTable[[#This Row],[% GDP 2024]]&gt;=5,"High Effort",IF(SpendTable[[#This Row],[% GDP 2024]]&gt;=2,"Medium Effort","Low Effort"))</f>
        <v>Medium Effort</v>
      </c>
      <c r="I26" t="str">
        <f>VLOOKUP(SpendTable[[#This Row],[Country]],Countries_Registry!$A$1:$D$34,2,FALSE)</f>
        <v>Western Europe</v>
      </c>
      <c r="J26" t="str">
        <f>VLOOKUP(SpendTable[[#This Row],[Country]],Countries_Registry!$A$1:$D$34,3,FALSE)</f>
        <v>Yes</v>
      </c>
      <c r="K26" t="str">
        <f>VLOOKUP(SpendTable[[#This Row],[Country]],Countries_Registry!$A$1:$D$34,4,FALSE)</f>
        <v>Europe</v>
      </c>
    </row>
    <row r="27" spans="1:11" x14ac:dyDescent="0.25">
      <c r="A27" s="5" t="s">
        <v>40</v>
      </c>
      <c r="B27" s="3">
        <v>8.6999999999999993</v>
      </c>
      <c r="C27" s="3">
        <v>10.9</v>
      </c>
      <c r="D27" s="7">
        <v>2.2000000000000002</v>
      </c>
      <c r="E27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7" t="str">
        <f>IF(SpendTable[[#This Row],[Spending 2024 (bn $)]]&gt;=100,"High",IF(SpendTable[[#This Row],[Spending 2024 (bn $)]]&gt;=30,"Medium","Low"))</f>
        <v>Low</v>
      </c>
      <c r="G27" s="18">
        <v>0.252873563218391</v>
      </c>
      <c r="H27" t="str">
        <f>IF(SpendTable[[#This Row],[% GDP 2024]]&gt;=5,"High Effort",IF(SpendTable[[#This Row],[% GDP 2024]]&gt;=2,"Medium Effort","Low Effort"))</f>
        <v>Medium Effort</v>
      </c>
      <c r="I27" t="str">
        <f>VLOOKUP(SpendTable[[#This Row],[Country]],Countries_Registry!$A$1:$D$34,2,FALSE)</f>
        <v>Western Europe</v>
      </c>
      <c r="J27" t="str">
        <f>VLOOKUP(SpendTable[[#This Row],[Country]],Countries_Registry!$A$1:$D$34,3,FALSE)</f>
        <v>Yes</v>
      </c>
      <c r="K27" t="str">
        <f>VLOOKUP(SpendTable[[#This Row],[Country]],Countries_Registry!$A$1:$D$34,4,FALSE)</f>
        <v>Europe</v>
      </c>
    </row>
    <row r="28" spans="1:11" x14ac:dyDescent="0.25">
      <c r="A28" s="5" t="s">
        <v>10</v>
      </c>
      <c r="B28" s="3">
        <v>9.5</v>
      </c>
      <c r="C28" s="3">
        <v>10.6</v>
      </c>
      <c r="D28" s="7">
        <v>0.8</v>
      </c>
      <c r="E28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8" t="str">
        <f>IF(SpendTable[[#This Row],[Spending 2024 (bn $)]]&gt;=100,"High",IF(SpendTable[[#This Row],[Spending 2024 (bn $)]]&gt;=30,"Medium","Low"))</f>
        <v>Low</v>
      </c>
      <c r="G28" s="18">
        <v>0.11578947368421</v>
      </c>
      <c r="H28" t="str">
        <f>IF(SpendTable[[#This Row],[% GDP 2024]]&gt;=5,"High Effort",IF(SpendTable[[#This Row],[% GDP 2024]]&gt;=2,"Medium Effort","Low Effort"))</f>
        <v>Low Effort</v>
      </c>
      <c r="I28" t="str">
        <f>VLOOKUP(SpendTable[[#This Row],[Country]],Countries_Registry!$A$1:$D$34,2,FALSE)</f>
        <v>Southeast Asia</v>
      </c>
      <c r="J28" t="str">
        <f>VLOOKUP(SpendTable[[#This Row],[Country]],Countries_Registry!$A$1:$D$34,3,FALSE)</f>
        <v>No</v>
      </c>
      <c r="K28" t="str">
        <f>VLOOKUP(SpendTable[[#This Row],[Country]],Countries_Registry!$A$1:$D$34,4,FALSE)</f>
        <v>Asia</v>
      </c>
    </row>
    <row r="29" spans="1:11" x14ac:dyDescent="0.25">
      <c r="A29" s="5" t="s">
        <v>9</v>
      </c>
      <c r="B29" s="3">
        <v>8.5</v>
      </c>
      <c r="C29" s="3">
        <v>10.199999999999999</v>
      </c>
      <c r="D29" s="7">
        <v>2.7</v>
      </c>
      <c r="E29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9" t="str">
        <f>IF(SpendTable[[#This Row],[Spending 2024 (bn $)]]&gt;=100,"High",IF(SpendTable[[#This Row],[Spending 2024 (bn $)]]&gt;=30,"Medium","Low"))</f>
        <v>Low</v>
      </c>
      <c r="G29" s="18">
        <v>0.2</v>
      </c>
      <c r="H29" t="str">
        <f>IF(SpendTable[[#This Row],[% GDP 2024]]&gt;=5,"High Effort",IF(SpendTable[[#This Row],[% GDP 2024]]&gt;=2,"Medium Effort","Low Effort"))</f>
        <v>Medium Effort</v>
      </c>
      <c r="I29" t="str">
        <f>VLOOKUP(SpendTable[[#This Row],[Country]],Countries_Registry!$A$1:$D$34,2,FALSE)</f>
        <v>South Asia</v>
      </c>
      <c r="J29" t="str">
        <f>VLOOKUP(SpendTable[[#This Row],[Country]],Countries_Registry!$A$1:$D$34,3,FALSE)</f>
        <v>No</v>
      </c>
      <c r="K29" t="str">
        <f>VLOOKUP(SpendTable[[#This Row],[Country]],Countries_Registry!$A$1:$D$34,4,FALSE)</f>
        <v>Asia</v>
      </c>
    </row>
    <row r="30" spans="1:11" x14ac:dyDescent="0.25">
      <c r="A30" s="5" t="s">
        <v>41</v>
      </c>
      <c r="B30" s="3">
        <v>8.1</v>
      </c>
      <c r="C30" s="3">
        <v>10</v>
      </c>
      <c r="D30" s="7">
        <v>2.4</v>
      </c>
      <c r="E30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0" t="str">
        <f>IF(SpendTable[[#This Row],[Spending 2024 (bn $)]]&gt;=100,"High",IF(SpendTable[[#This Row],[Spending 2024 (bn $)]]&gt;=30,"Medium","Low"))</f>
        <v>Low</v>
      </c>
      <c r="G30" s="18">
        <v>0.234567901234568</v>
      </c>
      <c r="H30" t="str">
        <f>IF(SpendTable[[#This Row],[% GDP 2024]]&gt;=5,"High Effort",IF(SpendTable[[#This Row],[% GDP 2024]]&gt;=2,"Medium Effort","Low Effort"))</f>
        <v>Medium Effort</v>
      </c>
      <c r="I30" t="str">
        <f>VLOOKUP(SpendTable[[#This Row],[Country]],Countries_Registry!$A$1:$D$34,2,FALSE)</f>
        <v>Western Europe</v>
      </c>
      <c r="J30" t="str">
        <f>VLOOKUP(SpendTable[[#This Row],[Country]],Countries_Registry!$A$1:$D$34,3,FALSE)</f>
        <v>Yes</v>
      </c>
      <c r="K30" t="str">
        <f>VLOOKUP(SpendTable[[#This Row],[Country]],Countries_Registry!$A$1:$D$34,4,FALSE)</f>
        <v>Europe</v>
      </c>
    </row>
    <row r="31" spans="1:11" x14ac:dyDescent="0.25">
      <c r="A31" s="5" t="s">
        <v>11</v>
      </c>
      <c r="B31" s="3">
        <v>10.7</v>
      </c>
      <c r="C31" s="3">
        <v>10</v>
      </c>
      <c r="D31" s="7">
        <v>2.4</v>
      </c>
      <c r="E31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31" t="str">
        <f>IF(SpendTable[[#This Row],[Spending 2024 (bn $)]]&gt;=100,"High",IF(SpendTable[[#This Row],[Spending 2024 (bn $)]]&gt;=30,"Medium","Low"))</f>
        <v>Low</v>
      </c>
      <c r="G31" s="18">
        <v>-6.5420560747663503E-2</v>
      </c>
      <c r="H31" t="str">
        <f>IF(SpendTable[[#This Row],[% GDP 2024]]&gt;=5,"High Effort",IF(SpendTable[[#This Row],[% GDP 2024]]&gt;=2,"Medium Effort","Low Effort"))</f>
        <v>Medium Effort</v>
      </c>
      <c r="I31" t="str">
        <f>VLOOKUP(SpendTable[[#This Row],[Country]],Countries_Registry!$A$1:$D$34,2,FALSE)</f>
        <v>Latin America</v>
      </c>
      <c r="J31" t="str">
        <f>VLOOKUP(SpendTable[[#This Row],[Country]],Countries_Registry!$A$1:$D$34,3,FALSE)</f>
        <v>No</v>
      </c>
      <c r="K31" t="str">
        <f>VLOOKUP(SpendTable[[#This Row],[Country]],Countries_Registry!$A$1:$D$34,4,FALSE)</f>
        <v>Americas</v>
      </c>
    </row>
    <row r="32" spans="1:11" x14ac:dyDescent="0.25">
      <c r="A32" s="5" t="s">
        <v>42</v>
      </c>
      <c r="B32" s="3">
        <v>7.7</v>
      </c>
      <c r="C32" s="3">
        <v>8.5</v>
      </c>
      <c r="D32" s="7">
        <v>1.3</v>
      </c>
      <c r="E32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2" t="str">
        <f>IF(SpendTable[[#This Row],[Spending 2024 (bn $)]]&gt;=100,"High",IF(SpendTable[[#This Row],[Spending 2024 (bn $)]]&gt;=30,"Medium","Low"))</f>
        <v>Low</v>
      </c>
      <c r="G32" s="18">
        <v>0.103896103896104</v>
      </c>
      <c r="H32" t="str">
        <f>IF(SpendTable[[#This Row],[% GDP 2024]]&gt;=5,"High Effort",IF(SpendTable[[#This Row],[% GDP 2024]]&gt;=2,"Medium Effort","Low Effort"))</f>
        <v>Low Effort</v>
      </c>
      <c r="I32" t="str">
        <f>VLOOKUP(SpendTable[[#This Row],[Country]],Countries_Registry!$A$1:$D$34,2,FALSE)</f>
        <v>Western Europe</v>
      </c>
      <c r="J32" t="str">
        <f>VLOOKUP(SpendTable[[#This Row],[Country]],Countries_Registry!$A$1:$D$34,3,FALSE)</f>
        <v>Yes</v>
      </c>
      <c r="K32" t="str">
        <f>VLOOKUP(SpendTable[[#This Row],[Country]],Countries_Registry!$A$1:$D$34,4,FALSE)</f>
        <v>Europe</v>
      </c>
    </row>
    <row r="33" spans="1:11" x14ac:dyDescent="0.25">
      <c r="A33" s="5" t="s">
        <v>43</v>
      </c>
      <c r="B33" s="3">
        <v>7.7</v>
      </c>
      <c r="C33" s="3">
        <v>8</v>
      </c>
      <c r="D33" s="7">
        <v>3.1</v>
      </c>
      <c r="E33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3" t="str">
        <f>IF(SpendTable[[#This Row],[Spending 2024 (bn $)]]&gt;=100,"High",IF(SpendTable[[#This Row],[Spending 2024 (bn $)]]&gt;=30,"Medium","Low"))</f>
        <v>Low</v>
      </c>
      <c r="G33" s="18">
        <v>3.8961038961038898E-2</v>
      </c>
      <c r="H33" t="str">
        <f>IF(SpendTable[[#This Row],[% GDP 2024]]&gt;=5,"High Effort",IF(SpendTable[[#This Row],[% GDP 2024]]&gt;=2,"Medium Effort","Low Effort"))</f>
        <v>Medium Effort</v>
      </c>
      <c r="I33" t="str">
        <f>VLOOKUP(SpendTable[[#This Row],[Country]],Countries_Registry!$A$1:$D$34,2,FALSE)</f>
        <v>Western Europe</v>
      </c>
      <c r="J33" t="str">
        <f>VLOOKUP(SpendTable[[#This Row],[Country]],Countries_Registry!$A$1:$D$34,3,FALSE)</f>
        <v>Yes</v>
      </c>
      <c r="K33" t="str">
        <f>VLOOKUP(SpendTable[[#This Row],[Country]],Countries_Registry!$A$1:$D$34,4,FALSE)</f>
        <v>Europe</v>
      </c>
    </row>
    <row r="34" spans="1:11" x14ac:dyDescent="0.25">
      <c r="A34" s="13" t="s">
        <v>44</v>
      </c>
      <c r="B34" s="14">
        <v>6.3</v>
      </c>
      <c r="C34" s="14">
        <v>6.8</v>
      </c>
      <c r="D34" s="15">
        <v>0.7</v>
      </c>
      <c r="E34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4" t="str">
        <f>IF(SpendTable[[#This Row],[Spending 2024 (bn $)]]&gt;=100,"High",IF(SpendTable[[#This Row],[Spending 2024 (bn $)]]&gt;=30,"Medium","Low"))</f>
        <v>Low</v>
      </c>
      <c r="G34" s="18">
        <v>7.9365079365079402E-2</v>
      </c>
      <c r="H34" t="str">
        <f>IF(SpendTable[[#This Row],[% GDP 2024]]&gt;=5,"High Effort",IF(SpendTable[[#This Row],[% GDP 2024]]&gt;=2,"Medium Effort","Low Effort"))</f>
        <v>Low Effort</v>
      </c>
      <c r="I34" t="str">
        <f>VLOOKUP(SpendTable[[#This Row],[Country]],Countries_Registry!$A$1:$D$34,2,FALSE)</f>
        <v>Western Europe</v>
      </c>
      <c r="J34" t="str">
        <f>VLOOKUP(SpendTable[[#This Row],[Country]],Countries_Registry!$A$1:$D$34,3,FALSE)</f>
        <v>No</v>
      </c>
      <c r="K34" t="str">
        <f>VLOOKUP(SpendTable[[#This Row],[Country]],Countries_Registry!$A$1:$D$34,4,FALSE)</f>
        <v>Europe</v>
      </c>
    </row>
    <row r="37" spans="1:11" x14ac:dyDescent="0.25">
      <c r="A37" s="20" t="s">
        <v>60</v>
      </c>
      <c r="B37" s="21">
        <v>15</v>
      </c>
    </row>
    <row r="38" spans="1:11" x14ac:dyDescent="0.25">
      <c r="A38" s="20" t="s">
        <v>61</v>
      </c>
      <c r="B38" s="22">
        <v>0.69</v>
      </c>
    </row>
    <row r="39" spans="1:11" x14ac:dyDescent="0.25">
      <c r="A39" s="20" t="s">
        <v>65</v>
      </c>
      <c r="B39" s="23" t="s">
        <v>31</v>
      </c>
    </row>
  </sheetData>
  <sheetProtection algorithmName="SHA-512" hashValue="4qInboSt7Hnn+rw0ixd06E+U0Qp9HzgNlA1o/nTa7Aef7IdnrYyDYanxTs/oKVMHii1jQnvOEDbbfy7aVWt7nw==" saltValue="I8kJ6Emji4L2vECKlWUH7w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C17" sqref="C17"/>
    </sheetView>
  </sheetViews>
  <sheetFormatPr defaultRowHeight="15" x14ac:dyDescent="0.25"/>
  <cols>
    <col min="1" max="3" width="18" customWidth="1"/>
    <col min="4" max="4" width="12" customWidth="1"/>
  </cols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s="2" t="s">
        <v>22</v>
      </c>
      <c r="B2" s="3">
        <v>916</v>
      </c>
      <c r="C2" s="3">
        <v>997</v>
      </c>
      <c r="D2" s="3">
        <v>3.4</v>
      </c>
    </row>
    <row r="3" spans="1:4" x14ac:dyDescent="0.25">
      <c r="A3" s="2" t="s">
        <v>23</v>
      </c>
      <c r="B3" s="3">
        <v>296</v>
      </c>
      <c r="C3" s="2">
        <v>314</v>
      </c>
      <c r="D3" s="3">
        <v>1.7</v>
      </c>
    </row>
    <row r="4" spans="1:4" x14ac:dyDescent="0.25">
      <c r="A4" s="2" t="s">
        <v>0</v>
      </c>
      <c r="B4" s="3">
        <v>109</v>
      </c>
      <c r="C4" s="3">
        <v>149</v>
      </c>
      <c r="D4" s="3">
        <v>7.1</v>
      </c>
    </row>
    <row r="5" spans="1:4" x14ac:dyDescent="0.25">
      <c r="A5" s="2" t="s">
        <v>24</v>
      </c>
      <c r="B5" s="3">
        <v>66.8</v>
      </c>
      <c r="C5" s="3">
        <v>88.5</v>
      </c>
      <c r="D5" s="3">
        <v>1.9</v>
      </c>
    </row>
    <row r="6" spans="1:4" x14ac:dyDescent="0.25">
      <c r="A6" s="2" t="s">
        <v>1</v>
      </c>
      <c r="B6" s="3">
        <v>83.6</v>
      </c>
      <c r="C6" s="3">
        <v>86.1</v>
      </c>
      <c r="D6" s="3">
        <v>2.2999999999999998</v>
      </c>
    </row>
    <row r="7" spans="1:4" x14ac:dyDescent="0.25">
      <c r="A7" s="2" t="s">
        <v>25</v>
      </c>
      <c r="B7" s="3">
        <v>74.900000000000006</v>
      </c>
      <c r="C7" s="3">
        <v>81.8</v>
      </c>
      <c r="D7" s="3">
        <v>2.2999999999999998</v>
      </c>
    </row>
    <row r="8" spans="1:4" x14ac:dyDescent="0.25">
      <c r="A8" s="2" t="s">
        <v>26</v>
      </c>
      <c r="B8" s="3">
        <v>75.8</v>
      </c>
      <c r="C8" s="3">
        <v>80.3</v>
      </c>
      <c r="D8" s="3">
        <v>7.3</v>
      </c>
    </row>
    <row r="9" spans="1:4" x14ac:dyDescent="0.25">
      <c r="A9" s="2" t="s">
        <v>27</v>
      </c>
      <c r="B9" s="3">
        <v>64.8</v>
      </c>
      <c r="C9" s="3">
        <v>64.7</v>
      </c>
      <c r="D9" s="3">
        <v>34.5</v>
      </c>
    </row>
    <row r="10" spans="1:4" x14ac:dyDescent="0.25">
      <c r="A10" s="2" t="s">
        <v>28</v>
      </c>
      <c r="B10" s="3">
        <v>61.3</v>
      </c>
      <c r="C10" s="3">
        <v>64.7</v>
      </c>
      <c r="D10" s="3">
        <v>2.1</v>
      </c>
    </row>
    <row r="11" spans="1:4" x14ac:dyDescent="0.25">
      <c r="A11" s="2" t="s">
        <v>28</v>
      </c>
      <c r="B11" s="3">
        <v>61.3</v>
      </c>
      <c r="C11" s="3">
        <v>64.7</v>
      </c>
      <c r="D11" s="3">
        <v>2.1</v>
      </c>
    </row>
    <row r="12" spans="1:4" x14ac:dyDescent="0.25">
      <c r="A12" s="2" t="s">
        <v>29</v>
      </c>
      <c r="B12" s="3">
        <v>50.2</v>
      </c>
      <c r="C12" s="3">
        <v>55.3</v>
      </c>
      <c r="D12" s="3">
        <v>1.4</v>
      </c>
    </row>
    <row r="13" spans="1:4" x14ac:dyDescent="0.25">
      <c r="A13" s="2" t="s">
        <v>30</v>
      </c>
      <c r="B13" s="3">
        <v>47.9</v>
      </c>
      <c r="C13" s="3">
        <v>47.6</v>
      </c>
      <c r="D13" s="3">
        <v>2.6</v>
      </c>
    </row>
    <row r="14" spans="1:4" x14ac:dyDescent="0.25">
      <c r="A14" s="2" t="s">
        <v>31</v>
      </c>
      <c r="B14" s="3">
        <v>27.5</v>
      </c>
      <c r="C14" s="3">
        <v>46.5</v>
      </c>
      <c r="D14" s="3">
        <v>8.8000000000000007</v>
      </c>
    </row>
    <row r="15" spans="1:4" x14ac:dyDescent="0.25">
      <c r="A15" s="2" t="s">
        <v>32</v>
      </c>
      <c r="B15" s="3">
        <v>31.6</v>
      </c>
      <c r="C15" s="3">
        <v>38</v>
      </c>
      <c r="D15" s="3">
        <v>4.2</v>
      </c>
    </row>
    <row r="16" spans="1:4" x14ac:dyDescent="0.25">
      <c r="A16" s="2" t="s">
        <v>32</v>
      </c>
      <c r="B16" s="3">
        <v>31.6</v>
      </c>
      <c r="C16" s="3">
        <v>38</v>
      </c>
      <c r="D16" s="3">
        <v>4.2</v>
      </c>
    </row>
    <row r="17" spans="1:4" x14ac:dyDescent="0.25">
      <c r="A17" s="2" t="s">
        <v>33</v>
      </c>
      <c r="B17" s="3">
        <v>35.5</v>
      </c>
      <c r="C17" s="3">
        <v>38</v>
      </c>
      <c r="D17" s="3">
        <v>1.6</v>
      </c>
    </row>
    <row r="18" spans="1:4" x14ac:dyDescent="0.25">
      <c r="A18" s="2" t="s">
        <v>2</v>
      </c>
      <c r="B18" s="3">
        <v>32.299999999999997</v>
      </c>
      <c r="C18" s="3">
        <v>33.799999999999997</v>
      </c>
      <c r="D18" s="3">
        <v>1.9</v>
      </c>
    </row>
    <row r="19" spans="1:4" x14ac:dyDescent="0.25">
      <c r="A19" s="2" t="s">
        <v>3</v>
      </c>
      <c r="B19" s="3">
        <v>27.2</v>
      </c>
      <c r="C19" s="3">
        <v>29.3</v>
      </c>
      <c r="D19" s="3">
        <v>1.3</v>
      </c>
    </row>
    <row r="20" spans="1:4" x14ac:dyDescent="0.25">
      <c r="A20" s="2" t="s">
        <v>34</v>
      </c>
      <c r="B20" s="3">
        <v>15.8</v>
      </c>
      <c r="C20" s="3">
        <v>25</v>
      </c>
      <c r="D20" s="2" t="s">
        <v>4</v>
      </c>
    </row>
    <row r="21" spans="1:4" x14ac:dyDescent="0.25">
      <c r="A21" s="2" t="s">
        <v>35</v>
      </c>
      <c r="B21" s="3">
        <v>23.7</v>
      </c>
      <c r="C21" s="3">
        <v>24.5</v>
      </c>
      <c r="D21" s="3">
        <v>1.5</v>
      </c>
    </row>
    <row r="22" spans="1:4" x14ac:dyDescent="0.25">
      <c r="A22" s="2" t="s">
        <v>37</v>
      </c>
      <c r="B22" s="3">
        <v>16.600000000000001</v>
      </c>
      <c r="C22" s="3">
        <v>21.5</v>
      </c>
      <c r="D22" s="3">
        <v>1.9</v>
      </c>
    </row>
    <row r="23" spans="1:4" x14ac:dyDescent="0.25">
      <c r="A23" s="2" t="s">
        <v>5</v>
      </c>
      <c r="B23" s="2" t="s">
        <v>45</v>
      </c>
      <c r="C23" s="3">
        <v>21.8</v>
      </c>
      <c r="D23" s="3">
        <v>8</v>
      </c>
    </row>
    <row r="24" spans="1:4" x14ac:dyDescent="0.25">
      <c r="A24" s="2" t="s">
        <v>36</v>
      </c>
      <c r="B24" s="3">
        <v>22.9</v>
      </c>
      <c r="C24" s="3">
        <v>23.4</v>
      </c>
      <c r="D24" s="3">
        <v>1.1000000000000001</v>
      </c>
    </row>
    <row r="25" spans="1:4" x14ac:dyDescent="0.25">
      <c r="A25" s="2" t="s">
        <v>7</v>
      </c>
      <c r="B25" s="3">
        <v>16.600000000000001</v>
      </c>
      <c r="C25" s="3">
        <v>16.5</v>
      </c>
      <c r="D25" s="2" t="s">
        <v>45</v>
      </c>
    </row>
    <row r="26" spans="1:4" x14ac:dyDescent="0.25">
      <c r="A26" s="2" t="s">
        <v>22</v>
      </c>
      <c r="B26" s="3">
        <v>916</v>
      </c>
      <c r="C26" s="3">
        <v>997</v>
      </c>
      <c r="D26" s="3">
        <v>3.4</v>
      </c>
    </row>
    <row r="27" spans="1:4" x14ac:dyDescent="0.25">
      <c r="A27" s="2" t="s">
        <v>8</v>
      </c>
      <c r="B27" s="3">
        <v>13.7</v>
      </c>
      <c r="C27" s="3">
        <v>14.2</v>
      </c>
      <c r="D27" s="3">
        <v>2.8</v>
      </c>
    </row>
    <row r="28" spans="1:4" x14ac:dyDescent="0.25">
      <c r="A28" s="2" t="s">
        <v>38</v>
      </c>
      <c r="B28" s="3">
        <v>11.8</v>
      </c>
      <c r="C28" s="3">
        <v>12.5</v>
      </c>
      <c r="D28" s="3">
        <v>0.6</v>
      </c>
    </row>
    <row r="29" spans="1:4" x14ac:dyDescent="0.25">
      <c r="A29" s="2" t="s">
        <v>39</v>
      </c>
      <c r="B29" s="3">
        <v>8.8000000000000007</v>
      </c>
      <c r="C29" s="3">
        <v>12</v>
      </c>
      <c r="D29" s="3">
        <v>2</v>
      </c>
    </row>
    <row r="30" spans="1:4" x14ac:dyDescent="0.25">
      <c r="A30" s="2" t="s">
        <v>40</v>
      </c>
      <c r="B30" s="3">
        <v>8.6999999999999993</v>
      </c>
      <c r="C30" s="3">
        <v>10.9</v>
      </c>
      <c r="D30" s="3">
        <v>2.2000000000000002</v>
      </c>
    </row>
    <row r="31" spans="1:4" x14ac:dyDescent="0.25">
      <c r="A31" s="2" t="s">
        <v>41</v>
      </c>
      <c r="B31" s="3">
        <v>8.1</v>
      </c>
      <c r="C31" s="3">
        <v>10</v>
      </c>
      <c r="D31" s="3">
        <v>2.4</v>
      </c>
    </row>
    <row r="32" spans="1:4" x14ac:dyDescent="0.25">
      <c r="A32" s="2" t="s">
        <v>9</v>
      </c>
      <c r="B32" s="3">
        <v>8.5</v>
      </c>
      <c r="C32" s="3">
        <v>10.199999999999999</v>
      </c>
      <c r="D32" s="3">
        <v>2.7</v>
      </c>
    </row>
    <row r="33" spans="1:4" x14ac:dyDescent="0.25">
      <c r="A33" s="2" t="s">
        <v>10</v>
      </c>
      <c r="B33" s="3">
        <v>9.5</v>
      </c>
      <c r="C33" s="3">
        <v>10.6</v>
      </c>
      <c r="D33" s="3">
        <v>0.8</v>
      </c>
    </row>
    <row r="34" spans="1:4" x14ac:dyDescent="0.25">
      <c r="A34" s="2" t="s">
        <v>11</v>
      </c>
      <c r="B34" s="3">
        <v>10.7</v>
      </c>
      <c r="C34" s="3">
        <v>10</v>
      </c>
      <c r="D34" s="3">
        <v>2.4</v>
      </c>
    </row>
    <row r="35" spans="1:4" x14ac:dyDescent="0.25">
      <c r="A35" s="2" t="s">
        <v>43</v>
      </c>
      <c r="B35" s="3">
        <v>7.7</v>
      </c>
      <c r="C35" s="3">
        <v>8</v>
      </c>
      <c r="D35" s="3">
        <v>3.1</v>
      </c>
    </row>
    <row r="36" spans="1:4" x14ac:dyDescent="0.25">
      <c r="A36" s="2" t="s">
        <v>42</v>
      </c>
      <c r="B36" s="3">
        <v>7.7</v>
      </c>
      <c r="C36" s="3">
        <v>8.5</v>
      </c>
      <c r="D36" s="3">
        <v>1.3</v>
      </c>
    </row>
    <row r="37" spans="1:4" x14ac:dyDescent="0.25">
      <c r="A37" s="2" t="s">
        <v>44</v>
      </c>
      <c r="B37" s="3">
        <v>6.3</v>
      </c>
      <c r="C37" s="3">
        <v>6.8</v>
      </c>
      <c r="D37" s="3">
        <v>0.7</v>
      </c>
    </row>
  </sheetData>
  <sheetProtection algorithmName="SHA-512" hashValue="m5NnKim+fAlcs1Fjzs+mH3XurM2N3GERiqKYmqnNcvzrd9RR+unw7szUqgBS69DHe8Kd7H9A3ejENpxaRI5tpA==" saltValue="VqEpDbUGK7ZONprEpaB3Xg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abSelected="1" workbookViewId="0">
      <selection activeCell="B20" sqref="B20"/>
    </sheetView>
  </sheetViews>
  <sheetFormatPr defaultRowHeight="15" x14ac:dyDescent="0.25"/>
  <cols>
    <col min="1" max="1" width="18" customWidth="1"/>
    <col min="2" max="2" width="22" customWidth="1"/>
    <col min="3" max="3" width="8" customWidth="1"/>
    <col min="4" max="4" width="12" customWidth="1"/>
  </cols>
  <sheetData>
    <row r="1" spans="1:4" x14ac:dyDescent="0.25">
      <c r="A1" s="1" t="s">
        <v>18</v>
      </c>
      <c r="B1" s="1" t="s">
        <v>46</v>
      </c>
      <c r="C1" s="1" t="s">
        <v>12</v>
      </c>
      <c r="D1" s="1" t="s">
        <v>47</v>
      </c>
    </row>
    <row r="2" spans="1:4" x14ac:dyDescent="0.25">
      <c r="A2" s="2" t="s">
        <v>22</v>
      </c>
      <c r="B2" s="2" t="s">
        <v>48</v>
      </c>
      <c r="C2" s="2" t="s">
        <v>49</v>
      </c>
      <c r="D2" s="2" t="s">
        <v>50</v>
      </c>
    </row>
    <row r="3" spans="1:4" x14ac:dyDescent="0.25">
      <c r="A3" s="2" t="s">
        <v>23</v>
      </c>
      <c r="B3" s="2" t="s">
        <v>51</v>
      </c>
      <c r="C3" s="2" t="s">
        <v>13</v>
      </c>
      <c r="D3" s="2" t="s">
        <v>14</v>
      </c>
    </row>
    <row r="4" spans="1:4" x14ac:dyDescent="0.25">
      <c r="A4" s="2" t="s">
        <v>0</v>
      </c>
      <c r="B4" s="2" t="s">
        <v>52</v>
      </c>
      <c r="C4" s="2" t="s">
        <v>13</v>
      </c>
      <c r="D4" s="2" t="s">
        <v>53</v>
      </c>
    </row>
    <row r="5" spans="1:4" x14ac:dyDescent="0.25">
      <c r="A5" s="2" t="s">
        <v>24</v>
      </c>
      <c r="B5" s="2" t="s">
        <v>54</v>
      </c>
      <c r="C5" s="2" t="s">
        <v>49</v>
      </c>
      <c r="D5" s="2" t="s">
        <v>53</v>
      </c>
    </row>
    <row r="6" spans="1:4" x14ac:dyDescent="0.25">
      <c r="A6" s="2" t="s">
        <v>1</v>
      </c>
      <c r="B6" s="2" t="s">
        <v>55</v>
      </c>
      <c r="C6" s="2" t="s">
        <v>13</v>
      </c>
      <c r="D6" s="2" t="s">
        <v>14</v>
      </c>
    </row>
    <row r="7" spans="1:4" x14ac:dyDescent="0.25">
      <c r="A7" s="2" t="s">
        <v>25</v>
      </c>
      <c r="B7" s="2" t="s">
        <v>54</v>
      </c>
      <c r="C7" s="2" t="s">
        <v>49</v>
      </c>
      <c r="D7" s="2" t="s">
        <v>53</v>
      </c>
    </row>
    <row r="8" spans="1:4" x14ac:dyDescent="0.25">
      <c r="A8" s="2" t="s">
        <v>26</v>
      </c>
      <c r="B8" s="2" t="s">
        <v>56</v>
      </c>
      <c r="C8" s="2" t="s">
        <v>13</v>
      </c>
      <c r="D8" s="2" t="s">
        <v>14</v>
      </c>
    </row>
    <row r="9" spans="1:4" x14ac:dyDescent="0.25">
      <c r="A9" s="2" t="s">
        <v>27</v>
      </c>
      <c r="B9" s="2" t="s">
        <v>52</v>
      </c>
      <c r="C9" s="2" t="s">
        <v>13</v>
      </c>
      <c r="D9" s="2" t="s">
        <v>53</v>
      </c>
    </row>
    <row r="10" spans="1:4" x14ac:dyDescent="0.25">
      <c r="A10" s="2" t="s">
        <v>28</v>
      </c>
      <c r="B10" s="2" t="s">
        <v>54</v>
      </c>
      <c r="C10" s="2" t="s">
        <v>49</v>
      </c>
      <c r="D10" s="2" t="s">
        <v>53</v>
      </c>
    </row>
    <row r="11" spans="1:4" x14ac:dyDescent="0.25">
      <c r="A11" s="2" t="s">
        <v>29</v>
      </c>
      <c r="B11" s="2" t="s">
        <v>51</v>
      </c>
      <c r="C11" s="2" t="s">
        <v>13</v>
      </c>
      <c r="D11" s="2" t="s">
        <v>14</v>
      </c>
    </row>
    <row r="12" spans="1:4" x14ac:dyDescent="0.25">
      <c r="A12" s="2" t="s">
        <v>30</v>
      </c>
      <c r="B12" s="2" t="s">
        <v>51</v>
      </c>
      <c r="C12" s="2" t="s">
        <v>13</v>
      </c>
      <c r="D12" s="2" t="s">
        <v>14</v>
      </c>
    </row>
    <row r="13" spans="1:4" x14ac:dyDescent="0.25">
      <c r="A13" s="2" t="s">
        <v>31</v>
      </c>
      <c r="B13" s="2" t="s">
        <v>56</v>
      </c>
      <c r="C13" s="2" t="s">
        <v>13</v>
      </c>
      <c r="D13" s="2" t="s">
        <v>14</v>
      </c>
    </row>
    <row r="14" spans="1:4" x14ac:dyDescent="0.25">
      <c r="A14" s="2" t="s">
        <v>32</v>
      </c>
      <c r="B14" s="2" t="s">
        <v>52</v>
      </c>
      <c r="C14" s="2" t="s">
        <v>49</v>
      </c>
      <c r="D14" s="2" t="s">
        <v>53</v>
      </c>
    </row>
    <row r="15" spans="1:4" x14ac:dyDescent="0.25">
      <c r="A15" s="2" t="s">
        <v>33</v>
      </c>
      <c r="B15" s="2" t="s">
        <v>54</v>
      </c>
      <c r="C15" s="2" t="s">
        <v>49</v>
      </c>
      <c r="D15" s="2" t="s">
        <v>53</v>
      </c>
    </row>
    <row r="16" spans="1:4" x14ac:dyDescent="0.25">
      <c r="A16" s="2" t="s">
        <v>2</v>
      </c>
      <c r="B16" s="2" t="s">
        <v>15</v>
      </c>
      <c r="C16" s="2" t="s">
        <v>13</v>
      </c>
      <c r="D16" s="2" t="s">
        <v>15</v>
      </c>
    </row>
    <row r="17" spans="1:4" x14ac:dyDescent="0.25">
      <c r="A17" s="2" t="s">
        <v>3</v>
      </c>
      <c r="B17" s="2" t="s">
        <v>48</v>
      </c>
      <c r="C17" s="2" t="s">
        <v>49</v>
      </c>
      <c r="D17" s="2" t="s">
        <v>50</v>
      </c>
    </row>
    <row r="18" spans="1:4" x14ac:dyDescent="0.25">
      <c r="A18" s="2" t="s">
        <v>34</v>
      </c>
      <c r="B18" s="2" t="s">
        <v>56</v>
      </c>
      <c r="C18" s="2" t="s">
        <v>49</v>
      </c>
      <c r="D18" s="2" t="s">
        <v>14</v>
      </c>
    </row>
    <row r="19" spans="1:4" x14ac:dyDescent="0.25">
      <c r="A19" s="2" t="s">
        <v>35</v>
      </c>
      <c r="B19" s="2" t="s">
        <v>54</v>
      </c>
      <c r="C19" s="2" t="s">
        <v>49</v>
      </c>
      <c r="D19" s="2" t="s">
        <v>53</v>
      </c>
    </row>
    <row r="20" spans="1:4" x14ac:dyDescent="0.25">
      <c r="A20" s="2" t="s">
        <v>37</v>
      </c>
      <c r="B20" s="2" t="s">
        <v>54</v>
      </c>
      <c r="C20" s="2" t="s">
        <v>49</v>
      </c>
      <c r="D20" s="2" t="s">
        <v>53</v>
      </c>
    </row>
    <row r="21" spans="1:4" x14ac:dyDescent="0.25">
      <c r="A21" s="2" t="s">
        <v>5</v>
      </c>
      <c r="B21" s="2" t="s">
        <v>57</v>
      </c>
      <c r="C21" s="2" t="s">
        <v>13</v>
      </c>
      <c r="D21" s="2" t="s">
        <v>16</v>
      </c>
    </row>
    <row r="22" spans="1:4" x14ac:dyDescent="0.25">
      <c r="A22" s="2" t="s">
        <v>36</v>
      </c>
      <c r="B22" s="2" t="s">
        <v>58</v>
      </c>
      <c r="C22" s="2" t="s">
        <v>13</v>
      </c>
      <c r="D22" s="2" t="s">
        <v>50</v>
      </c>
    </row>
    <row r="23" spans="1:4" x14ac:dyDescent="0.25">
      <c r="A23" s="2" t="s">
        <v>7</v>
      </c>
      <c r="B23" s="2" t="s">
        <v>51</v>
      </c>
      <c r="C23" s="2" t="s">
        <v>13</v>
      </c>
      <c r="D23" s="2" t="s">
        <v>14</v>
      </c>
    </row>
    <row r="24" spans="1:4" x14ac:dyDescent="0.25">
      <c r="A24" s="2" t="s">
        <v>8</v>
      </c>
      <c r="B24" s="2" t="s">
        <v>59</v>
      </c>
      <c r="C24" s="2" t="s">
        <v>13</v>
      </c>
      <c r="D24" s="2" t="s">
        <v>14</v>
      </c>
    </row>
    <row r="25" spans="1:4" x14ac:dyDescent="0.25">
      <c r="A25" s="2" t="s">
        <v>38</v>
      </c>
      <c r="B25" s="2" t="s">
        <v>58</v>
      </c>
      <c r="C25" s="2" t="s">
        <v>13</v>
      </c>
      <c r="D25" s="2" t="s">
        <v>50</v>
      </c>
    </row>
    <row r="26" spans="1:4" x14ac:dyDescent="0.25">
      <c r="A26" s="2" t="s">
        <v>39</v>
      </c>
      <c r="B26" s="2" t="s">
        <v>54</v>
      </c>
      <c r="C26" s="2" t="s">
        <v>49</v>
      </c>
      <c r="D26" s="2" t="s">
        <v>53</v>
      </c>
    </row>
    <row r="27" spans="1:4" x14ac:dyDescent="0.25">
      <c r="A27" s="2" t="s">
        <v>40</v>
      </c>
      <c r="B27" s="2" t="s">
        <v>54</v>
      </c>
      <c r="C27" s="2" t="s">
        <v>49</v>
      </c>
      <c r="D27" s="2" t="s">
        <v>53</v>
      </c>
    </row>
    <row r="28" spans="1:4" x14ac:dyDescent="0.25">
      <c r="A28" s="2" t="s">
        <v>41</v>
      </c>
      <c r="B28" s="2" t="s">
        <v>54</v>
      </c>
      <c r="C28" s="2" t="s">
        <v>49</v>
      </c>
      <c r="D28" s="2" t="s">
        <v>53</v>
      </c>
    </row>
    <row r="29" spans="1:4" x14ac:dyDescent="0.25">
      <c r="A29" s="2" t="s">
        <v>9</v>
      </c>
      <c r="B29" s="2" t="s">
        <v>55</v>
      </c>
      <c r="C29" s="2" t="s">
        <v>13</v>
      </c>
      <c r="D29" s="2" t="s">
        <v>14</v>
      </c>
    </row>
    <row r="30" spans="1:4" x14ac:dyDescent="0.25">
      <c r="A30" s="2" t="s">
        <v>10</v>
      </c>
      <c r="B30" s="2" t="s">
        <v>59</v>
      </c>
      <c r="C30" s="2" t="s">
        <v>13</v>
      </c>
      <c r="D30" s="2" t="s">
        <v>14</v>
      </c>
    </row>
    <row r="31" spans="1:4" x14ac:dyDescent="0.25">
      <c r="A31" s="2" t="s">
        <v>11</v>
      </c>
      <c r="B31" s="2" t="s">
        <v>58</v>
      </c>
      <c r="C31" s="2" t="s">
        <v>13</v>
      </c>
      <c r="D31" s="2" t="s">
        <v>50</v>
      </c>
    </row>
    <row r="32" spans="1:4" x14ac:dyDescent="0.25">
      <c r="A32" s="2" t="s">
        <v>43</v>
      </c>
      <c r="B32" s="2" t="s">
        <v>54</v>
      </c>
      <c r="C32" s="2" t="s">
        <v>49</v>
      </c>
      <c r="D32" s="2" t="s">
        <v>53</v>
      </c>
    </row>
    <row r="33" spans="1:4" x14ac:dyDescent="0.25">
      <c r="A33" s="2" t="s">
        <v>42</v>
      </c>
      <c r="B33" s="2" t="s">
        <v>54</v>
      </c>
      <c r="C33" s="2" t="s">
        <v>49</v>
      </c>
      <c r="D33" s="2" t="s">
        <v>53</v>
      </c>
    </row>
    <row r="34" spans="1:4" x14ac:dyDescent="0.25">
      <c r="A34" s="2" t="s">
        <v>44</v>
      </c>
      <c r="B34" s="2" t="s">
        <v>54</v>
      </c>
      <c r="C34" s="2" t="s">
        <v>13</v>
      </c>
      <c r="D34" s="2" t="s">
        <v>53</v>
      </c>
    </row>
  </sheetData>
  <sheetProtection algorithmName="SHA-512" hashValue="oyUUht/5WMLD6JbFUa27BMg87FyTzgA7bvAIzloUC1Wq162zpU/Vgh/iIz5U1wIAO2E8gtUFFGlAXpjZKB65lA==" saltValue="xr6TeWKdJ+7sJSEH7bxojQ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Pivots</vt:lpstr>
      <vt:lpstr>Clean_Data</vt:lpstr>
      <vt:lpstr>Raw_Data</vt:lpstr>
      <vt:lpstr>Countries_Registry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Pasquali</cp:lastModifiedBy>
  <dcterms:created xsi:type="dcterms:W3CDTF">2026-07-13T11:25:08Z</dcterms:created>
  <dcterms:modified xsi:type="dcterms:W3CDTF">2026-07-14T12:35:30Z</dcterms:modified>
</cp:coreProperties>
</file>